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560"/>
  </bookViews>
  <sheets>
    <sheet name="电表" sheetId="1" r:id="rId1"/>
  </sheets>
  <definedNames>
    <definedName name="_xlnm.Print_Titles" localSheetId="0">电表!$2:$3</definedName>
    <definedName name="_xlnm.Print_Area" localSheetId="0">电表!$A$1:$G$265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<sst xmlns="http://schemas.openxmlformats.org/spreadsheetml/2006/main" count="722" uniqueCount="433">
  <si>
    <t xml:space="preserve"> {{R_year}}年（ {{R_month}} )月抄电表记录</t>
  </si>
  <si>
    <t>序号</t>
  </si>
  <si>
    <t>用户名</t>
  </si>
  <si>
    <t>电表位置</t>
  </si>
  <si>
    <t>表号</t>
  </si>
  <si>
    <t>倍率</t>
  </si>
  <si>
    <t>{{L_year}}/{{L_month}}/{{L_day}}</t>
  </si>
  <si>
    <t>{{R_year}}/{{R_month}}/{{R_day}}</t>
  </si>
  <si>
    <t>备注</t>
  </si>
  <si>
    <t>显示数</t>
  </si>
  <si>
    <t>用量</t>
  </si>
  <si>
    <t>首钢物资贸易有限公司</t>
  </si>
  <si>
    <t>提升泵站配电室</t>
  </si>
  <si>
    <t>411-1</t>
  </si>
  <si>
    <t>1</t>
  </si>
  <si>
    <t>{{n:L_3053}}</t>
  </si>
  <si>
    <t>{{n:R_3053}}</t>
  </si>
  <si>
    <t>422-1</t>
  </si>
  <si>
    <t>{{n:L_3091}}</t>
  </si>
  <si>
    <t>{{n:R_3091}}</t>
  </si>
  <si>
    <t xml:space="preserve">                                                          合计：</t>
  </si>
  <si>
    <t>苏州铂耐</t>
  </si>
  <si>
    <t>三号楼一层北底商</t>
  </si>
  <si>
    <t>F1AL-SY1-QF11</t>
  </si>
  <si>
    <t>{{n:L_3524}}</t>
  </si>
  <si>
    <t>{{n:R_3524}}</t>
  </si>
  <si>
    <t>商户内</t>
  </si>
  <si>
    <t>大荒茶</t>
  </si>
  <si>
    <t>三号楼一层南底商</t>
  </si>
  <si>
    <t>F1AL-SY7</t>
  </si>
  <si>
    <t>{{n:L_3534}}</t>
  </si>
  <si>
    <t>{{n:R_3534}}</t>
  </si>
  <si>
    <t>预付费，未入系统</t>
  </si>
  <si>
    <t>北京澎湃畅通汽车销售服务公司</t>
  </si>
  <si>
    <t>三号楼一层</t>
  </si>
  <si>
    <t>F1AL3</t>
  </si>
  <si>
    <t>{{n:L_3576}}</t>
  </si>
  <si>
    <t>{{n:R_3576}}</t>
  </si>
  <si>
    <t>1层强电井</t>
  </si>
  <si>
    <t>F1ALE3</t>
  </si>
  <si>
    <t>{{n:L_3575}}</t>
  </si>
  <si>
    <t>{{n:R_3575}}</t>
  </si>
  <si>
    <t>合计：</t>
  </si>
  <si>
    <t>一站摩品</t>
  </si>
  <si>
    <t>初始首自信退租标底337</t>
  </si>
  <si>
    <t>酒吧</t>
  </si>
  <si>
    <t>F1AL-SY5-</t>
  </si>
  <si>
    <t>{{n:L_3533}}</t>
  </si>
  <si>
    <t>{{n:R_3533}}</t>
  </si>
  <si>
    <t>原表底为初始值</t>
  </si>
  <si>
    <t xml:space="preserve">乐万家 </t>
  </si>
  <si>
    <t>F1AL-SY1-QF12</t>
  </si>
  <si>
    <t>F1AP-XF1</t>
  </si>
  <si>
    <t>{{n:L_3523}}</t>
  </si>
  <si>
    <t>{{n:R_3523}}</t>
  </si>
  <si>
    <t>北京实景律师事务所</t>
  </si>
  <si>
    <t>三号楼2层</t>
  </si>
  <si>
    <t>F2AL3</t>
  </si>
  <si>
    <t>{{n:L_3573}}</t>
  </si>
  <si>
    <t>{{n:R_3573}}</t>
  </si>
  <si>
    <t>F2ALE3</t>
  </si>
  <si>
    <t>{{n:L_3574}}</t>
  </si>
  <si>
    <t>{{n:R_3574}}</t>
  </si>
  <si>
    <t>京西保理</t>
  </si>
  <si>
    <t>三号楼二层</t>
  </si>
  <si>
    <t>F2AW1-QF1</t>
  </si>
  <si>
    <t>{{n:L_3538}}</t>
  </si>
  <si>
    <t>{{n:R_3538}}</t>
  </si>
  <si>
    <t xml:space="preserve"> 医馆二装临电</t>
  </si>
  <si>
    <t>F1ALSY2-QF11</t>
  </si>
  <si>
    <t>10.31开始</t>
  </si>
  <si>
    <t>极限公园</t>
  </si>
  <si>
    <t>411-6</t>
  </si>
  <si>
    <t>{{n:L_3058}}</t>
  </si>
  <si>
    <t>{{n:R_3058}}</t>
  </si>
  <si>
    <t>412-7</t>
  </si>
  <si>
    <t>{{n:L_3065}}</t>
  </si>
  <si>
    <t>{{n:R_3065}}</t>
  </si>
  <si>
    <t>425-3</t>
  </si>
  <si>
    <t>{{n:L_3115}}</t>
  </si>
  <si>
    <t>{{n:R_3115}}</t>
  </si>
  <si>
    <t>425-6</t>
  </si>
  <si>
    <t>{{n:L_3118}}</t>
  </si>
  <si>
    <t>{{n:R_3118}}</t>
  </si>
  <si>
    <t>除尘风机房      （航宇荣康）</t>
  </si>
  <si>
    <t>432-4</t>
  </si>
  <si>
    <t>{{n:L_3136}}</t>
  </si>
  <si>
    <t>{{n:R_3136}}</t>
  </si>
  <si>
    <t>AP1</t>
  </si>
  <si>
    <t>预付费未入系统</t>
  </si>
  <si>
    <t>443-5</t>
  </si>
  <si>
    <t>{{n:L_3019}}</t>
  </si>
  <si>
    <t>{{n:R_3019}}</t>
  </si>
  <si>
    <t>AP2</t>
  </si>
  <si>
    <t>金百合</t>
  </si>
  <si>
    <t>426-4</t>
  </si>
  <si>
    <t>{{n:L_3122}}</t>
  </si>
  <si>
    <t>{{n:R_3122}}</t>
  </si>
  <si>
    <t>433-1</t>
  </si>
  <si>
    <t>{{n:L_3137}}</t>
  </si>
  <si>
    <t>{{n:R_3137}}</t>
  </si>
  <si>
    <t>433-8</t>
  </si>
  <si>
    <t>{{n:L_3144}}</t>
  </si>
  <si>
    <t>{{n:R_3144}}</t>
  </si>
  <si>
    <t>味妙</t>
  </si>
  <si>
    <t>415-1</t>
  </si>
  <si>
    <t>{{n:L_3081}}</t>
  </si>
  <si>
    <t>{{n:R_3081}}</t>
  </si>
  <si>
    <t>顺德</t>
  </si>
  <si>
    <t>442-2</t>
  </si>
  <si>
    <t>{{n:L_3156}}</t>
  </si>
  <si>
    <t>{{n:R_3156}}</t>
  </si>
  <si>
    <t>义公子</t>
  </si>
  <si>
    <t>432-2</t>
  </si>
  <si>
    <t>{{n:L_3134}}</t>
  </si>
  <si>
    <t>{{n:R_3134}}</t>
  </si>
  <si>
    <t>京东</t>
  </si>
  <si>
    <t>444-7</t>
  </si>
  <si>
    <t>{{n:L_3186}}</t>
  </si>
  <si>
    <t>{{n:R_3186}}</t>
  </si>
  <si>
    <t>预付费电表</t>
  </si>
  <si>
    <t>晋昀楼</t>
  </si>
  <si>
    <t>411-2</t>
  </si>
  <si>
    <t>{{n:L_3054}}</t>
  </si>
  <si>
    <t>{{n:R_3054}}</t>
  </si>
  <si>
    <t>瑞尔曼</t>
  </si>
  <si>
    <t>4#楼三层强电井</t>
  </si>
  <si>
    <t>F3AW1</t>
  </si>
  <si>
    <t>{{n:L_3542}}</t>
  </si>
  <si>
    <t>{{n:R_3542}}</t>
  </si>
  <si>
    <t>F3ALE1</t>
  </si>
  <si>
    <t>{{n:L_3544}}</t>
  </si>
  <si>
    <t>{{n:R_3544}}</t>
  </si>
  <si>
    <t>415-6</t>
  </si>
  <si>
    <t>{{n:L_3086}}</t>
  </si>
  <si>
    <t>{{n:R_3086}}</t>
  </si>
  <si>
    <t>新增北楼A区</t>
  </si>
  <si>
    <t>F3AW2</t>
  </si>
  <si>
    <t>{{n:L_3556}}</t>
  </si>
  <si>
    <t>{{n:R_3556}}</t>
  </si>
  <si>
    <t>F3ALE2</t>
  </si>
  <si>
    <t>{{n:L_3559}}</t>
  </si>
  <si>
    <t>{{n:R_3559}}</t>
  </si>
  <si>
    <t>422-5</t>
  </si>
  <si>
    <t>{{n:L_3095}}</t>
  </si>
  <si>
    <t>{{n:R_3095}}</t>
  </si>
  <si>
    <t>新增南楼B区</t>
  </si>
  <si>
    <t>南方国际租赁有限公司</t>
  </si>
  <si>
    <t>除尘配电室</t>
  </si>
  <si>
    <t>443-4</t>
  </si>
  <si>
    <t>{{n:L_3161}}</t>
  </si>
  <si>
    <t>{{n:R_3161}}</t>
  </si>
  <si>
    <t>423-3</t>
  </si>
  <si>
    <t>{{n:L_3099}}</t>
  </si>
  <si>
    <t>{{n:R_3099}}</t>
  </si>
  <si>
    <t>5#楼地下一层配电室</t>
  </si>
  <si>
    <t>AA1QF4</t>
  </si>
  <si>
    <t>AA2QF4</t>
  </si>
  <si>
    <t>B1AL</t>
  </si>
  <si>
    <t>东奥外围</t>
  </si>
  <si>
    <t>东道房</t>
  </si>
  <si>
    <t>2016-0607743</t>
  </si>
  <si>
    <t>西道房</t>
  </si>
  <si>
    <t>2016-08076472</t>
  </si>
  <si>
    <t>丰巢</t>
  </si>
  <si>
    <t>2017-0761791537</t>
  </si>
  <si>
    <t>路灯</t>
  </si>
  <si>
    <t>HC017520129</t>
  </si>
  <si>
    <t>绿化</t>
  </si>
  <si>
    <t>HC017520201</t>
  </si>
  <si>
    <t>小西门本室</t>
  </si>
  <si>
    <t>HC017520221</t>
  </si>
  <si>
    <t>驿停车</t>
  </si>
  <si>
    <t>南门闸机</t>
  </si>
  <si>
    <t>岗亭内</t>
  </si>
  <si>
    <t>西门闸机</t>
  </si>
  <si>
    <t>地下车库闸机</t>
  </si>
  <si>
    <t>闸机旁</t>
  </si>
  <si>
    <t>1#停车场照明</t>
  </si>
  <si>
    <t>C区-AP01</t>
  </si>
  <si>
    <t>2#停车场照明</t>
  </si>
  <si>
    <t>C区-AP02</t>
  </si>
  <si>
    <t>地下车库用电</t>
  </si>
  <si>
    <t>411-4</t>
  </si>
  <si>
    <t>{{n:L_3056}}</t>
  </si>
  <si>
    <t>{{n:R_3056}}</t>
  </si>
  <si>
    <t>地库排水泵（备）</t>
  </si>
  <si>
    <t>413-3</t>
  </si>
  <si>
    <t>{{n:L_3069}}</t>
  </si>
  <si>
    <t>{{n:R_3069}}</t>
  </si>
  <si>
    <t>地库电伴热（主）</t>
  </si>
  <si>
    <t>414-5</t>
  </si>
  <si>
    <t>{{n:L_3079}}</t>
  </si>
  <si>
    <t>{{n:R_3079}}</t>
  </si>
  <si>
    <t>地库消防风机（主）</t>
  </si>
  <si>
    <t>417-6</t>
  </si>
  <si>
    <t>{{n:L_2935}}</t>
  </si>
  <si>
    <t>{{n:R_2935}}</t>
  </si>
  <si>
    <t>地库消防风机（备）</t>
  </si>
  <si>
    <t>428-6</t>
  </si>
  <si>
    <t>{{n:L_2983}}</t>
  </si>
  <si>
    <t>{{n:R_2983}}</t>
  </si>
  <si>
    <t>地库电伴热（备）</t>
  </si>
  <si>
    <t>425-5</t>
  </si>
  <si>
    <t>{{n:L_3117}}</t>
  </si>
  <si>
    <t>{{n:R_3117}}</t>
  </si>
  <si>
    <t>地库排水泵（主）</t>
  </si>
  <si>
    <t>424-3</t>
  </si>
  <si>
    <t>{{n:L_3107}}</t>
  </si>
  <si>
    <t>{{n:R_3107}}</t>
  </si>
  <si>
    <t>充电配电室风机</t>
  </si>
  <si>
    <t>444-3</t>
  </si>
  <si>
    <t>{{n:L_3164}}</t>
  </si>
  <si>
    <t>{{n:R_3164}}</t>
  </si>
  <si>
    <t>自来水加压站</t>
  </si>
  <si>
    <t>444-1</t>
  </si>
  <si>
    <t>{{n:L_3162}}</t>
  </si>
  <si>
    <t>{{n:R_3162}}</t>
  </si>
  <si>
    <t>一高炉当红齐天</t>
  </si>
  <si>
    <t>1#计量柜</t>
  </si>
  <si>
    <t>高压侧44开关</t>
  </si>
  <si>
    <t>2#计量柜</t>
  </si>
  <si>
    <t>高压侧55开关</t>
  </si>
  <si>
    <t>415-6（铁塔）</t>
  </si>
  <si>
    <t>一高炉配电室</t>
  </si>
  <si>
    <t>430-1</t>
  </si>
  <si>
    <t>430-2</t>
  </si>
  <si>
    <t>430-3</t>
  </si>
  <si>
    <t>425-4</t>
  </si>
  <si>
    <t>活动</t>
  </si>
  <si>
    <t>9#楼西楼3-5层</t>
  </si>
  <si>
    <t>F3ALla</t>
  </si>
  <si>
    <t>9#楼西楼三层强电井</t>
  </si>
  <si>
    <t>F3AL1-QF1</t>
  </si>
  <si>
    <t>422-2</t>
  </si>
  <si>
    <t>四层</t>
  </si>
  <si>
    <t>F4ALE1</t>
  </si>
  <si>
    <t>9#楼西楼四层强电井</t>
  </si>
  <si>
    <t>415-5</t>
  </si>
  <si>
    <t>五层</t>
  </si>
  <si>
    <t>F5ALE1</t>
  </si>
  <si>
    <t>9#楼西楼五层强电井</t>
  </si>
  <si>
    <t>9#楼咪咕文化科技有限公司</t>
  </si>
  <si>
    <t>9#楼东楼</t>
  </si>
  <si>
    <t>423-1</t>
  </si>
  <si>
    <t>412-1</t>
  </si>
  <si>
    <t>428-2</t>
  </si>
  <si>
    <t>417-2</t>
  </si>
  <si>
    <t>425-2</t>
  </si>
  <si>
    <t>414-2</t>
  </si>
  <si>
    <t>424-4</t>
  </si>
  <si>
    <t>413-4</t>
  </si>
  <si>
    <t>417-8</t>
  </si>
  <si>
    <t>444-5</t>
  </si>
  <si>
    <t>F1ALla</t>
  </si>
  <si>
    <t>9#楼西楼1.2层</t>
  </si>
  <si>
    <t>414-6</t>
  </si>
  <si>
    <t>F1ALE1</t>
  </si>
  <si>
    <t>F2ALla</t>
  </si>
  <si>
    <t>F2AL1-QF3</t>
  </si>
  <si>
    <t>F2ALE1</t>
  </si>
  <si>
    <t>414-1</t>
  </si>
  <si>
    <t>425-1</t>
  </si>
  <si>
    <t>426-3</t>
  </si>
  <si>
    <t>426-5</t>
  </si>
  <si>
    <t>416-6</t>
  </si>
  <si>
    <t>417-7</t>
  </si>
  <si>
    <t>446-5</t>
  </si>
  <si>
    <t>业务体验中心</t>
  </si>
  <si>
    <t>434-5</t>
  </si>
  <si>
    <t>412-3</t>
  </si>
  <si>
    <t>414-7</t>
  </si>
  <si>
    <t>414-8</t>
  </si>
  <si>
    <t>F1AL1-QF3</t>
  </si>
  <si>
    <t>咪咕咖啡</t>
  </si>
  <si>
    <t>80</t>
  </si>
  <si>
    <t>F1AL1-QF4</t>
  </si>
  <si>
    <t>咪咕食堂</t>
  </si>
  <si>
    <t>F1AL1-QF2</t>
  </si>
  <si>
    <t>30</t>
  </si>
  <si>
    <t>415-3</t>
  </si>
  <si>
    <t>427-3</t>
  </si>
  <si>
    <t>423-2</t>
  </si>
  <si>
    <t>446-6</t>
  </si>
  <si>
    <t>434-6</t>
  </si>
  <si>
    <t>412-2</t>
  </si>
  <si>
    <t>数智竞技</t>
  </si>
  <si>
    <t>444-4</t>
  </si>
  <si>
    <t>433-4</t>
  </si>
  <si>
    <t>2#楼商户</t>
  </si>
  <si>
    <t>北京明辉科技有限公司（青睐）（本月无人）（通力承担）</t>
  </si>
  <si>
    <t>B1配电室</t>
  </si>
  <si>
    <t>AA10-6</t>
  </si>
  <si>
    <t>全景声（北京）智能科技有限公司</t>
  </si>
  <si>
    <t>B1强电井</t>
  </si>
  <si>
    <t>B1AW-QF6</t>
  </si>
  <si>
    <t>京东方（通力承担）</t>
  </si>
  <si>
    <t>AA9-7</t>
  </si>
  <si>
    <t>聚力（通力承担）</t>
  </si>
  <si>
    <t>南墙</t>
  </si>
  <si>
    <t>首钢物业</t>
  </si>
  <si>
    <t>B1AW-WY3</t>
  </si>
  <si>
    <t>B1AW-WY4</t>
  </si>
  <si>
    <t>一层</t>
  </si>
  <si>
    <t>北京维麦咖啡</t>
  </si>
  <si>
    <t>1AW02-商业3</t>
  </si>
  <si>
    <t>睿尔曼训练测试中心</t>
  </si>
  <si>
    <t>1AW01-商业2</t>
  </si>
  <si>
    <t>奇幻湃</t>
  </si>
  <si>
    <t>1AW01-商业1</t>
  </si>
  <si>
    <t>二层</t>
  </si>
  <si>
    <t>全景声</t>
  </si>
  <si>
    <t>2层新风机房</t>
  </si>
  <si>
    <t>2AW1-QF2</t>
  </si>
  <si>
    <t>首版科技</t>
  </si>
  <si>
    <t>2AW1-QF3</t>
  </si>
  <si>
    <t>2AW1-QF5</t>
  </si>
  <si>
    <t>智瞰深鉴</t>
  </si>
  <si>
    <t>2AW1-QF4</t>
  </si>
  <si>
    <t>科幻研究中心</t>
  </si>
  <si>
    <t>2AW1-QF1</t>
  </si>
  <si>
    <t>元宇科技未来（刘慈欣/书香文雅）</t>
  </si>
  <si>
    <t>2AW1-QF6</t>
  </si>
  <si>
    <t>2AW1-QF7</t>
  </si>
  <si>
    <t>正负极1</t>
  </si>
  <si>
    <t>2层强电井</t>
  </si>
  <si>
    <t>2AW-QF2</t>
  </si>
  <si>
    <t>正负极2</t>
  </si>
  <si>
    <t>肺鱼</t>
  </si>
  <si>
    <t>2AW-QF1</t>
  </si>
  <si>
    <t>中恒智联</t>
  </si>
  <si>
    <t>2AW-QF4</t>
  </si>
  <si>
    <t xml:space="preserve"> 凌云光</t>
  </si>
  <si>
    <t>AA2-6</t>
  </si>
  <si>
    <t>不计</t>
  </si>
  <si>
    <t>AA2-7</t>
  </si>
  <si>
    <t>AA3-6</t>
  </si>
  <si>
    <t>AA3-7</t>
  </si>
  <si>
    <t>萨摩虚幻</t>
  </si>
  <si>
    <t>三层</t>
  </si>
  <si>
    <t>渲光科技</t>
  </si>
  <si>
    <t>三层强电井</t>
  </si>
  <si>
    <t>芯辰科技</t>
  </si>
  <si>
    <t>商户室内</t>
  </si>
  <si>
    <t>全息威睛光</t>
  </si>
  <si>
    <t>奇幻湃数实科技</t>
  </si>
  <si>
    <t>4层</t>
  </si>
  <si>
    <t>亦友文化（小）前元旭半导</t>
  </si>
  <si>
    <t>F4AW-QF1</t>
  </si>
  <si>
    <t>电量为（F4AW-QF1-触控科技）</t>
  </si>
  <si>
    <t>触控科技</t>
  </si>
  <si>
    <t>F4AW-QF1-11</t>
  </si>
  <si>
    <t>（触控科技）西侧</t>
  </si>
  <si>
    <t>F4AW-QF1-12</t>
  </si>
  <si>
    <t>亦友文化（大）</t>
  </si>
  <si>
    <t>F4AW-QF2</t>
  </si>
  <si>
    <t>原元客凌云光AL1</t>
  </si>
  <si>
    <t>诺亦腾机器人科技</t>
  </si>
  <si>
    <t>商户自装</t>
  </si>
  <si>
    <t>诺亦腾2</t>
  </si>
  <si>
    <t>诺亦腾1</t>
  </si>
  <si>
    <t>B1强电井QF7</t>
  </si>
  <si>
    <t>5层</t>
  </si>
  <si>
    <t>瞰瞰智域</t>
  </si>
  <si>
    <t>五层强电井</t>
  </si>
  <si>
    <t>B1强电井QF5</t>
  </si>
  <si>
    <t>蓝博天启</t>
  </si>
  <si>
    <t>无人智境</t>
  </si>
  <si>
    <t>图客未来</t>
  </si>
  <si>
    <t>新轴动画</t>
  </si>
  <si>
    <t>6层</t>
  </si>
  <si>
    <t>北极星途</t>
  </si>
  <si>
    <t>六层强电井</t>
  </si>
  <si>
    <t>F5AL</t>
  </si>
  <si>
    <t>F5ALE</t>
  </si>
  <si>
    <t>7层</t>
  </si>
  <si>
    <t>西客魔迩</t>
  </si>
  <si>
    <t>七层强电井</t>
  </si>
  <si>
    <t>F6AL</t>
  </si>
  <si>
    <t>F6ALE</t>
  </si>
  <si>
    <t>8层</t>
  </si>
  <si>
    <t>亦心科技</t>
  </si>
  <si>
    <t>拓仕新材</t>
  </si>
  <si>
    <t>航天智融</t>
  </si>
  <si>
    <t>9层</t>
  </si>
  <si>
    <t>爱宾果</t>
  </si>
  <si>
    <t>QF1</t>
  </si>
  <si>
    <t>航宇荣康</t>
  </si>
  <si>
    <t>QF2（商户室内新表表底为2652）</t>
  </si>
  <si>
    <t>灌木互娱</t>
  </si>
  <si>
    <t>盛世影云</t>
  </si>
  <si>
    <t>QF4</t>
  </si>
  <si>
    <t>客户位置及名称：2号楼( 公区）/北京中关村通力科技服务有限责任公司</t>
  </si>
  <si>
    <t>楼层</t>
  </si>
  <si>
    <t>设备</t>
  </si>
  <si>
    <t>电表号</t>
  </si>
  <si>
    <t>10.24</t>
  </si>
  <si>
    <t>11.</t>
  </si>
  <si>
    <t>电量</t>
  </si>
  <si>
    <t>分配电室</t>
  </si>
  <si>
    <t>楼宇电梯</t>
  </si>
  <si>
    <t>5#电梯（主）</t>
  </si>
  <si>
    <t>5#电梯（备）</t>
  </si>
  <si>
    <t>1-4#电梯（主）</t>
  </si>
  <si>
    <t>1-4#电梯（备）</t>
  </si>
  <si>
    <t>空调机房</t>
  </si>
  <si>
    <t>新风系统</t>
  </si>
  <si>
    <t>2-风机房内2AW1配电</t>
  </si>
  <si>
    <t>新风+屋顶正压送风</t>
  </si>
  <si>
    <t>空调机房电源2AP-XF</t>
  </si>
  <si>
    <t>公共设备</t>
  </si>
  <si>
    <t>强电间1AL</t>
  </si>
  <si>
    <t>强电间1ALE</t>
  </si>
  <si>
    <t>消防系统</t>
  </si>
  <si>
    <t>1AW01-2</t>
  </si>
  <si>
    <t>1AW02-4</t>
  </si>
  <si>
    <t>强电间B1AL1</t>
  </si>
  <si>
    <t>应急电源</t>
  </si>
  <si>
    <t>强电间B1ALE1</t>
  </si>
  <si>
    <t>强电间2AL</t>
  </si>
  <si>
    <t>强电间2ALE</t>
  </si>
  <si>
    <t>强电间3AL</t>
  </si>
  <si>
    <t>强电间3ALE</t>
  </si>
  <si>
    <t>强电间4AL</t>
  </si>
  <si>
    <t>强电间4ALE</t>
  </si>
  <si>
    <t>强电间5AL</t>
  </si>
  <si>
    <t>强电间5ALE</t>
  </si>
  <si>
    <t>强电间8AL</t>
  </si>
  <si>
    <t>强电间8ALE</t>
  </si>
  <si>
    <t>强电间9AL</t>
  </si>
  <si>
    <t>强电间9ALE</t>
  </si>
  <si>
    <t>合计</t>
  </si>
  <si>
    <t>抄表人;             审核人：                      时间：    年     月    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</si>
</sst>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45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indexed="10"/>
      <name val="宋体"/>
      <charset val="134"/>
    </font>
    <font>
      <sz val="10"/>
      <color theme="1"/>
      <name val="宋体"/>
      <charset val="134"/>
      <scheme val="minor"/>
    </font>
    <font>
      <b/>
      <i/>
      <sz val="20"/>
      <color indexed="8"/>
      <name val="宋体"/>
      <charset val="134"/>
    </font>
    <font>
      <sz val="12"/>
      <name val="宋体"/>
      <charset val="134"/>
    </font>
    <font>
      <b/>
      <sz val="12"/>
      <color indexed="10"/>
      <name val="宋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indexed="10"/>
      <name val="宋体"/>
      <charset val="134"/>
    </font>
    <font>
      <sz val="9"/>
      <color rgb="FFFF0000"/>
      <name val="宋体"/>
      <charset val="134"/>
    </font>
    <font>
      <sz val="9"/>
      <name val="宋体"/>
      <charset val="134"/>
    </font>
    <font>
      <sz val="9"/>
      <color indexed="10"/>
      <name val="宋体"/>
      <charset val="134"/>
    </font>
    <font>
      <sz val="9"/>
      <color rgb="FFC00000"/>
      <name val="宋体"/>
      <charset val="134"/>
    </font>
    <font>
      <sz val="12"/>
      <color rgb="FFFFFF00"/>
      <name val="宋体"/>
      <charset val="134"/>
    </font>
    <font>
      <sz val="12"/>
      <color theme="1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b/>
      <sz val="14"/>
      <name val="华文细黑"/>
      <charset val="134"/>
    </font>
    <font>
      <sz val="14"/>
      <color theme="1"/>
      <name val="华文细黑"/>
      <charset val="134"/>
    </font>
    <font>
      <sz val="12"/>
      <color theme="1"/>
      <name val="华文细黑"/>
      <charset val="134"/>
    </font>
    <font>
      <sz val="9"/>
      <color theme="1"/>
      <name val="宋体"/>
      <charset val="134"/>
    </font>
    <font>
      <sz val="14"/>
      <color theme="1"/>
      <name val="方正粗黑宋简体"/>
      <charset val="134"/>
    </font>
    <font>
      <sz val="14"/>
      <color rgb="FFFF0000"/>
      <name val="华文细黑"/>
      <charset val="134"/>
    </font>
    <font>
      <i/>
      <sz val="16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0" fillId="2" borderId="13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14">
      <alignment vertical="center"/>
    </xf>
    <xf numFmtId="0" fontId="32" fillId="0" borderId="14">
      <alignment vertical="center"/>
    </xf>
    <xf numFmtId="0" fontId="33" fillId="0" borderId="15">
      <alignment vertical="center"/>
    </xf>
    <xf numFmtId="0" fontId="33" fillId="0" borderId="0">
      <alignment vertical="center"/>
    </xf>
    <xf numFmtId="0" fontId="34" fillId="3" borderId="16">
      <alignment vertical="center"/>
    </xf>
    <xf numFmtId="0" fontId="35" fillId="4" borderId="17">
      <alignment vertical="center"/>
    </xf>
    <xf numFmtId="0" fontId="36" fillId="4" borderId="16">
      <alignment vertical="center"/>
    </xf>
    <xf numFmtId="0" fontId="37" fillId="5" borderId="18">
      <alignment vertical="center"/>
    </xf>
    <xf numFmtId="0" fontId="38" fillId="0" borderId="19">
      <alignment vertical="center"/>
    </xf>
    <xf numFmtId="0" fontId="39" fillId="0" borderId="20">
      <alignment vertical="center"/>
    </xf>
    <xf numFmtId="0" fontId="40" fillId="6" borderId="0">
      <alignment vertical="center"/>
    </xf>
    <xf numFmtId="0" fontId="41" fillId="7" borderId="0">
      <alignment vertical="center"/>
    </xf>
    <xf numFmtId="0" fontId="42" fillId="8" borderId="0">
      <alignment vertical="center"/>
    </xf>
    <xf numFmtId="0" fontId="43" fillId="9" borderId="0">
      <alignment vertical="center"/>
    </xf>
    <xf numFmtId="0" fontId="44" fillId="10" borderId="0">
      <alignment vertical="center"/>
    </xf>
    <xf numFmtId="0" fontId="44" fillId="11" borderId="0">
      <alignment vertical="center"/>
    </xf>
    <xf numFmtId="0" fontId="43" fillId="12" borderId="0">
      <alignment vertical="center"/>
    </xf>
    <xf numFmtId="0" fontId="43" fillId="13" borderId="0">
      <alignment vertical="center"/>
    </xf>
    <xf numFmtId="0" fontId="44" fillId="14" borderId="0">
      <alignment vertical="center"/>
    </xf>
    <xf numFmtId="0" fontId="44" fillId="15" borderId="0">
      <alignment vertical="center"/>
    </xf>
    <xf numFmtId="0" fontId="43" fillId="16" borderId="0">
      <alignment vertical="center"/>
    </xf>
    <xf numFmtId="0" fontId="43" fillId="17" borderId="0">
      <alignment vertical="center"/>
    </xf>
    <xf numFmtId="0" fontId="44" fillId="18" borderId="0">
      <alignment vertical="center"/>
    </xf>
    <xf numFmtId="0" fontId="44" fillId="19" borderId="0">
      <alignment vertical="center"/>
    </xf>
    <xf numFmtId="0" fontId="43" fillId="20" borderId="0">
      <alignment vertical="center"/>
    </xf>
    <xf numFmtId="0" fontId="43" fillId="21" borderId="0">
      <alignment vertical="center"/>
    </xf>
    <xf numFmtId="0" fontId="44" fillId="22" borderId="0">
      <alignment vertical="center"/>
    </xf>
    <xf numFmtId="0" fontId="44" fillId="23" borderId="0">
      <alignment vertical="center"/>
    </xf>
    <xf numFmtId="0" fontId="43" fillId="24" borderId="0">
      <alignment vertical="center"/>
    </xf>
    <xf numFmtId="0" fontId="43" fillId="25" borderId="0">
      <alignment vertical="center"/>
    </xf>
    <xf numFmtId="0" fontId="44" fillId="26" borderId="0">
      <alignment vertical="center"/>
    </xf>
    <xf numFmtId="0" fontId="44" fillId="27" borderId="0">
      <alignment vertical="center"/>
    </xf>
    <xf numFmtId="0" fontId="43" fillId="28" borderId="0">
      <alignment vertical="center"/>
    </xf>
    <xf numFmtId="0" fontId="43" fillId="29" borderId="0">
      <alignment vertical="center"/>
    </xf>
    <xf numFmtId="0" fontId="44" fillId="30" borderId="0">
      <alignment vertical="center"/>
    </xf>
    <xf numFmtId="0" fontId="44" fillId="31" borderId="0">
      <alignment vertical="center"/>
    </xf>
    <xf numFmtId="0" fontId="43" fillId="32" borderId="0">
      <alignment vertical="center"/>
    </xf>
  </cellStyleXfs>
  <cellXfs count="76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/>
    <xf numFmtId="49" fontId="5" fillId="0" borderId="2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/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0" fillId="0" borderId="6" xfId="0" applyFill="1" applyBorder="1" applyAlignment="1"/>
    <xf numFmtId="0" fontId="6" fillId="0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58" fontId="5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textRotation="255" wrapText="1"/>
    </xf>
    <xf numFmtId="0" fontId="0" fillId="0" borderId="8" xfId="0" applyFill="1" applyBorder="1" applyAlignment="1"/>
    <xf numFmtId="0" fontId="13" fillId="0" borderId="2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textRotation="255" wrapText="1"/>
    </xf>
    <xf numFmtId="0" fontId="7" fillId="0" borderId="9" xfId="0" applyFont="1" applyFill="1" applyBorder="1" applyAlignment="1">
      <alignment horizontal="center" vertical="center" wrapText="1"/>
    </xf>
    <xf numFmtId="0" fontId="0" fillId="0" borderId="10" xfId="0" applyFill="1" applyBorder="1" applyAlignment="1"/>
    <xf numFmtId="0" fontId="8" fillId="0" borderId="9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0" fillId="0" borderId="11" xfId="0" applyFill="1" applyBorder="1" applyAlignment="1"/>
    <xf numFmtId="0" fontId="2" fillId="0" borderId="2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left" vertical="center"/>
    </xf>
    <xf numFmtId="0" fontId="19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49" fontId="19" fillId="0" borderId="2" xfId="0" applyNumberFormat="1" applyFont="1" applyFill="1" applyBorder="1" applyAlignment="1">
      <alignment horizontal="center" vertical="center"/>
    </xf>
    <xf numFmtId="176" fontId="20" fillId="0" borderId="2" xfId="0" applyNumberFormat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vertical="center"/>
    </xf>
    <xf numFmtId="0" fontId="2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23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vertical="center"/>
    </xf>
    <xf numFmtId="0" fontId="24" fillId="0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left" vertical="center"/>
    </xf>
    <xf numFmtId="0" fontId="0" fillId="0" borderId="7" xfId="0" applyFill="1" applyBorder="1" applyAlignment="1"/>
    <xf numFmtId="0" fontId="24" fillId="0" borderId="2" xfId="0" applyFont="1" applyFill="1" applyBorder="1" applyAlignment="1">
      <alignment vertical="center"/>
    </xf>
    <xf numFmtId="0" fontId="0" fillId="0" borderId="12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5"/>
  <sheetViews>
    <sheetView tabSelected="1" workbookViewId="0">
      <selection activeCell="F11" sqref="F11"/>
    </sheetView>
  </sheetViews>
  <sheetFormatPr defaultColWidth="9" defaultRowHeight="16.8"/>
  <cols>
    <col min="1" max="1" width="5.375" style="3" customWidth="1"/>
    <col min="2" max="4" width="18.625" style="3" customWidth="1"/>
    <col min="5" max="5" width="11.7692307692308" style="3" customWidth="1"/>
    <col min="6" max="6" width="37.1153846153846" style="3" customWidth="1"/>
    <col min="7" max="7" width="37.5" style="3" customWidth="1"/>
    <col min="8" max="8" width="12.625" style="3" customWidth="1"/>
    <col min="9" max="9" width="26.7307692307692" style="4" customWidth="1"/>
    <col min="10" max="16384" width="9" style="4"/>
  </cols>
  <sheetData>
    <row r="1" ht="30" customHeight="1" spans="1:9">
      <c r="A1" s="5" t="s">
        <v>0</v>
      </c>
      <c r="B1" s="6"/>
      <c r="C1" s="6"/>
      <c r="D1" s="6"/>
      <c r="E1" s="6"/>
      <c r="F1" s="6"/>
      <c r="G1" s="6"/>
      <c r="H1" s="6"/>
      <c r="I1" s="6"/>
    </row>
    <row r="2" s="1" customFormat="1" ht="21.95" customHeight="1" spans="1:9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23" t="s">
        <v>6</v>
      </c>
      <c r="G2" s="24" t="s">
        <v>7</v>
      </c>
      <c r="H2" s="25"/>
      <c r="I2" s="7" t="s">
        <v>8</v>
      </c>
    </row>
    <row r="3" s="1" customFormat="1" ht="21.95" customHeight="1" spans="1:9">
      <c r="A3" s="8"/>
      <c r="B3" s="8"/>
      <c r="C3" s="8"/>
      <c r="D3" s="8"/>
      <c r="E3" s="8"/>
      <c r="F3" s="7" t="s">
        <v>9</v>
      </c>
      <c r="G3" s="7" t="s">
        <v>9</v>
      </c>
      <c r="H3" s="7" t="s">
        <v>10</v>
      </c>
      <c r="I3" s="8"/>
    </row>
    <row r="4" s="1" customFormat="1" ht="21.95" customHeight="1" spans="1:10">
      <c r="A4" s="7">
        <v>1</v>
      </c>
      <c r="B4" s="7" t="s">
        <v>11</v>
      </c>
      <c r="C4" s="7" t="s">
        <v>12</v>
      </c>
      <c r="D4" s="9" t="s">
        <v>13</v>
      </c>
      <c r="E4" s="26" t="s">
        <v>14</v>
      </c>
      <c r="F4" s="14" t="s">
        <v>15</v>
      </c>
      <c r="G4" s="14" t="s">
        <v>16</v>
      </c>
      <c r="H4" s="7" t="e">
        <f>G4-F4</f>
        <v>#VALUE!</v>
      </c>
      <c r="I4" s="32"/>
      <c r="J4" s="1" t="b">
        <v>0</v>
      </c>
    </row>
    <row r="5" s="1" customFormat="1" ht="21.95" customHeight="1" spans="1:10">
      <c r="A5" s="8"/>
      <c r="B5" s="8"/>
      <c r="C5" s="7" t="s">
        <v>12</v>
      </c>
      <c r="D5" s="9" t="s">
        <v>17</v>
      </c>
      <c r="E5" s="26" t="s">
        <v>14</v>
      </c>
      <c r="F5" s="14" t="s">
        <v>18</v>
      </c>
      <c r="G5" s="14" t="s">
        <v>19</v>
      </c>
      <c r="H5" s="7" t="e">
        <f t="shared" ref="H5:H44" si="0">G5-F5</f>
        <v>#VALUE!</v>
      </c>
      <c r="I5" s="32"/>
      <c r="J5" s="1" t="b">
        <v>0</v>
      </c>
    </row>
    <row r="6" s="2" customFormat="1" ht="21.95" customHeight="1" spans="1:10">
      <c r="A6" s="10" t="s">
        <v>20</v>
      </c>
      <c r="B6" s="11"/>
      <c r="C6" s="11"/>
      <c r="D6" s="11"/>
      <c r="E6" s="11"/>
      <c r="F6" s="27"/>
      <c r="G6" s="27"/>
      <c r="H6" s="7"/>
      <c r="I6" s="32"/>
      <c r="J6" s="2" t="b">
        <v>1</v>
      </c>
    </row>
    <row r="7" s="2" customFormat="1" ht="21.95" customHeight="1" spans="1:10">
      <c r="A7" s="12"/>
      <c r="B7" s="13"/>
      <c r="C7" s="13"/>
      <c r="D7" s="13"/>
      <c r="E7" s="28"/>
      <c r="F7" s="29"/>
      <c r="G7" s="29"/>
      <c r="H7" s="7"/>
      <c r="I7" s="33"/>
      <c r="J7" s="2" t="b">
        <v>1</v>
      </c>
    </row>
    <row r="8" s="1" customFormat="1" ht="24" customHeight="1" spans="1:10">
      <c r="A8" s="7">
        <v>2</v>
      </c>
      <c r="B8" s="7" t="s">
        <v>21</v>
      </c>
      <c r="C8" s="7" t="s">
        <v>22</v>
      </c>
      <c r="D8" s="14" t="s">
        <v>23</v>
      </c>
      <c r="E8" s="26" t="s">
        <v>14</v>
      </c>
      <c r="F8" s="14" t="s">
        <v>24</v>
      </c>
      <c r="G8" s="14" t="s">
        <v>25</v>
      </c>
      <c r="H8" s="7" t="e">
        <f t="shared" si="0"/>
        <v>#VALUE!</v>
      </c>
      <c r="I8" s="7" t="s">
        <v>26</v>
      </c>
      <c r="J8" s="1" t="b">
        <v>0</v>
      </c>
    </row>
    <row r="9" s="1" customFormat="1" ht="21.95" customHeight="1" spans="1:10">
      <c r="A9" s="12"/>
      <c r="B9" s="13"/>
      <c r="C9" s="13"/>
      <c r="D9" s="13"/>
      <c r="E9" s="28"/>
      <c r="F9" s="29"/>
      <c r="G9" s="29"/>
      <c r="H9" s="7"/>
      <c r="I9" s="7"/>
      <c r="J9" s="1" t="b">
        <v>1</v>
      </c>
    </row>
    <row r="10" s="1" customFormat="1" ht="21.95" customHeight="1" spans="1:10">
      <c r="A10" s="7">
        <v>3</v>
      </c>
      <c r="B10" s="7" t="s">
        <v>27</v>
      </c>
      <c r="C10" s="7" t="s">
        <v>28</v>
      </c>
      <c r="D10" s="14" t="s">
        <v>29</v>
      </c>
      <c r="E10" s="30">
        <v>40</v>
      </c>
      <c r="F10" s="14" t="s">
        <v>30</v>
      </c>
      <c r="G10" s="14" t="s">
        <v>31</v>
      </c>
      <c r="H10" s="7" t="e">
        <f t="shared" si="0"/>
        <v>#VALUE!</v>
      </c>
      <c r="I10" s="7" t="s">
        <v>26</v>
      </c>
      <c r="J10" s="1" t="b">
        <v>0</v>
      </c>
    </row>
    <row r="11" s="1" customFormat="1" ht="21.95" customHeight="1" spans="1:10">
      <c r="A11" s="7"/>
      <c r="B11" s="8"/>
      <c r="C11" s="8"/>
      <c r="D11" s="8"/>
      <c r="E11" s="30">
        <v>40</v>
      </c>
      <c r="F11" s="14">
        <v>0</v>
      </c>
      <c r="G11" s="14"/>
      <c r="H11" s="7"/>
      <c r="I11" s="34" t="s">
        <v>32</v>
      </c>
      <c r="J11" s="1" t="b">
        <v>1</v>
      </c>
    </row>
    <row r="12" s="1" customFormat="1" ht="21.95" customHeight="1" spans="1:10">
      <c r="A12" s="12"/>
      <c r="B12" s="12"/>
      <c r="C12" s="13"/>
      <c r="D12" s="13"/>
      <c r="E12" s="13"/>
      <c r="F12" s="28"/>
      <c r="G12" s="28"/>
      <c r="H12" s="7"/>
      <c r="I12" s="35"/>
      <c r="J12" s="1" t="b">
        <v>1</v>
      </c>
    </row>
    <row r="13" s="1" customFormat="1" ht="27" customHeight="1" spans="1:10">
      <c r="A13" s="7">
        <v>4</v>
      </c>
      <c r="B13" s="7" t="s">
        <v>33</v>
      </c>
      <c r="C13" s="7" t="s">
        <v>34</v>
      </c>
      <c r="D13" s="14" t="s">
        <v>35</v>
      </c>
      <c r="E13" s="26" t="s">
        <v>14</v>
      </c>
      <c r="F13" s="14" t="s">
        <v>36</v>
      </c>
      <c r="G13" s="14" t="s">
        <v>37</v>
      </c>
      <c r="H13" s="7" t="e">
        <f t="shared" si="0"/>
        <v>#VALUE!</v>
      </c>
      <c r="I13" s="7" t="s">
        <v>38</v>
      </c>
      <c r="J13" s="1" t="b">
        <v>0</v>
      </c>
    </row>
    <row r="14" s="1" customFormat="1" ht="27" customHeight="1" spans="1:10">
      <c r="A14" s="15"/>
      <c r="B14" s="15"/>
      <c r="C14" s="15"/>
      <c r="D14" s="8"/>
      <c r="E14" s="26" t="s">
        <v>14</v>
      </c>
      <c r="F14" s="14">
        <v>0</v>
      </c>
      <c r="G14" s="14"/>
      <c r="H14" s="7"/>
      <c r="I14" s="34" t="s">
        <v>32</v>
      </c>
      <c r="J14" s="1" t="b">
        <v>1</v>
      </c>
    </row>
    <row r="15" s="1" customFormat="1" ht="21.95" customHeight="1" spans="1:10">
      <c r="A15" s="8"/>
      <c r="B15" s="8"/>
      <c r="C15" s="8"/>
      <c r="D15" s="14" t="s">
        <v>39</v>
      </c>
      <c r="E15" s="26" t="s">
        <v>14</v>
      </c>
      <c r="F15" s="14" t="s">
        <v>40</v>
      </c>
      <c r="G15" s="14" t="s">
        <v>41</v>
      </c>
      <c r="H15" s="7" t="e">
        <f t="shared" si="0"/>
        <v>#VALUE!</v>
      </c>
      <c r="I15" s="7"/>
      <c r="J15" s="1" t="b">
        <v>0</v>
      </c>
    </row>
    <row r="16" s="2" customFormat="1" ht="21.95" customHeight="1" spans="1:10">
      <c r="A16" s="10" t="s">
        <v>42</v>
      </c>
      <c r="B16" s="11"/>
      <c r="C16" s="11"/>
      <c r="D16" s="11"/>
      <c r="E16" s="11"/>
      <c r="F16" s="27"/>
      <c r="G16" s="27"/>
      <c r="H16" s="7"/>
      <c r="I16" s="32"/>
      <c r="J16" s="2" t="b">
        <v>1</v>
      </c>
    </row>
    <row r="17" s="2" customFormat="1" ht="21.95" customHeight="1" spans="1:10">
      <c r="A17" s="16"/>
      <c r="B17" s="12"/>
      <c r="C17" s="13"/>
      <c r="D17" s="13"/>
      <c r="E17" s="13"/>
      <c r="F17" s="28"/>
      <c r="G17" s="28"/>
      <c r="H17" s="7"/>
      <c r="I17" s="33"/>
      <c r="J17" s="2" t="b">
        <v>1</v>
      </c>
    </row>
    <row r="18" s="1" customFormat="1" ht="21.95" customHeight="1" spans="1:10">
      <c r="A18" s="7">
        <v>5</v>
      </c>
      <c r="B18" s="7" t="s">
        <v>43</v>
      </c>
      <c r="C18" s="7" t="s">
        <v>34</v>
      </c>
      <c r="D18" s="14"/>
      <c r="E18" s="26" t="s">
        <v>14</v>
      </c>
      <c r="F18" s="14">
        <v>378</v>
      </c>
      <c r="G18" s="14"/>
      <c r="H18" s="7">
        <f t="shared" si="0"/>
        <v>-378</v>
      </c>
      <c r="I18" s="36" t="s">
        <v>44</v>
      </c>
      <c r="J18" s="1" t="b">
        <v>1</v>
      </c>
    </row>
    <row r="19" s="1" customFormat="1" ht="21.95" customHeight="1" spans="1:10">
      <c r="A19" s="16"/>
      <c r="B19" s="12"/>
      <c r="C19" s="13"/>
      <c r="D19" s="13"/>
      <c r="E19" s="13"/>
      <c r="F19" s="28">
        <v>2761</v>
      </c>
      <c r="G19" s="28"/>
      <c r="H19" s="7">
        <f t="shared" si="0"/>
        <v>-2761</v>
      </c>
      <c r="I19" s="37" t="s">
        <v>32</v>
      </c>
      <c r="J19" s="1" t="b">
        <v>1</v>
      </c>
    </row>
    <row r="20" s="1" customFormat="1" ht="21.95" customHeight="1" spans="1:10">
      <c r="A20" s="7">
        <v>6</v>
      </c>
      <c r="B20" s="7" t="s">
        <v>45</v>
      </c>
      <c r="C20" s="7" t="s">
        <v>34</v>
      </c>
      <c r="D20" s="14" t="s">
        <v>46</v>
      </c>
      <c r="E20" s="26" t="s">
        <v>14</v>
      </c>
      <c r="F20" s="14" t="s">
        <v>47</v>
      </c>
      <c r="G20" s="14" t="s">
        <v>48</v>
      </c>
      <c r="H20" s="7" t="e">
        <f t="shared" si="0"/>
        <v>#VALUE!</v>
      </c>
      <c r="I20" s="36" t="s">
        <v>49</v>
      </c>
      <c r="J20" s="1" t="b">
        <v>0</v>
      </c>
    </row>
    <row r="21" s="1" customFormat="1" ht="21.95" customHeight="1" spans="1:10">
      <c r="A21" s="16"/>
      <c r="B21" s="12"/>
      <c r="C21" s="13"/>
      <c r="D21" s="13"/>
      <c r="E21" s="13"/>
      <c r="F21" s="28"/>
      <c r="G21" s="28"/>
      <c r="H21" s="7"/>
      <c r="I21" s="37"/>
      <c r="J21" s="1" t="b">
        <v>1</v>
      </c>
    </row>
    <row r="22" s="1" customFormat="1" ht="21.95" customHeight="1" spans="1:10">
      <c r="A22" s="7">
        <v>7</v>
      </c>
      <c r="B22" s="7" t="s">
        <v>50</v>
      </c>
      <c r="C22" s="7" t="s">
        <v>34</v>
      </c>
      <c r="D22" s="14" t="s">
        <v>51</v>
      </c>
      <c r="E22" s="26" t="s">
        <v>14</v>
      </c>
      <c r="F22" s="14" t="s">
        <v>24</v>
      </c>
      <c r="G22" s="14" t="s">
        <v>25</v>
      </c>
      <c r="H22" s="7" t="e">
        <f t="shared" si="0"/>
        <v>#VALUE!</v>
      </c>
      <c r="I22" s="36" t="s">
        <v>49</v>
      </c>
      <c r="J22" s="1" t="b">
        <v>0</v>
      </c>
    </row>
    <row r="23" s="1" customFormat="1" ht="21.95" customHeight="1" spans="1:10">
      <c r="A23" s="7"/>
      <c r="B23" s="7"/>
      <c r="C23" s="7"/>
      <c r="D23" s="14" t="s">
        <v>52</v>
      </c>
      <c r="E23" s="26" t="s">
        <v>14</v>
      </c>
      <c r="F23" s="14" t="s">
        <v>53</v>
      </c>
      <c r="G23" s="14" t="s">
        <v>54</v>
      </c>
      <c r="H23" s="7" t="e">
        <f t="shared" si="0"/>
        <v>#VALUE!</v>
      </c>
      <c r="I23" s="7"/>
      <c r="J23" s="1" t="b">
        <v>0</v>
      </c>
    </row>
    <row r="24" s="1" customFormat="1" ht="21.95" customHeight="1" spans="1:10">
      <c r="A24" s="16"/>
      <c r="B24" s="12"/>
      <c r="C24" s="13" t="s">
        <v>42</v>
      </c>
      <c r="D24" s="13"/>
      <c r="E24" s="13"/>
      <c r="F24" s="28"/>
      <c r="G24" s="28"/>
      <c r="H24" s="7"/>
      <c r="I24" s="33"/>
      <c r="J24" s="1" t="b">
        <v>1</v>
      </c>
    </row>
    <row r="25" s="1" customFormat="1" ht="21.95" customHeight="1" spans="1:10">
      <c r="A25" s="7">
        <v>8</v>
      </c>
      <c r="B25" s="7" t="s">
        <v>55</v>
      </c>
      <c r="C25" s="7" t="s">
        <v>56</v>
      </c>
      <c r="D25" s="14" t="s">
        <v>57</v>
      </c>
      <c r="E25" s="26" t="s">
        <v>14</v>
      </c>
      <c r="F25" s="14" t="s">
        <v>58</v>
      </c>
      <c r="G25" s="14" t="s">
        <v>59</v>
      </c>
      <c r="H25" s="7" t="e">
        <f t="shared" si="0"/>
        <v>#VALUE!</v>
      </c>
      <c r="I25" s="7"/>
      <c r="J25" s="1" t="b">
        <v>0</v>
      </c>
    </row>
    <row r="26" s="1" customFormat="1" ht="21.95" customHeight="1" spans="1:10">
      <c r="A26" s="15"/>
      <c r="B26" s="15"/>
      <c r="C26" s="7"/>
      <c r="D26" s="8"/>
      <c r="E26" s="26" t="s">
        <v>14</v>
      </c>
      <c r="F26" s="14">
        <v>0</v>
      </c>
      <c r="G26" s="14"/>
      <c r="H26" s="7"/>
      <c r="I26" s="34" t="s">
        <v>32</v>
      </c>
      <c r="J26" s="1" t="b">
        <v>1</v>
      </c>
    </row>
    <row r="27" s="1" customFormat="1" ht="21.95" customHeight="1" spans="1:10">
      <c r="A27" s="8"/>
      <c r="B27" s="8"/>
      <c r="C27" s="7"/>
      <c r="D27" s="14" t="s">
        <v>60</v>
      </c>
      <c r="E27" s="26" t="s">
        <v>14</v>
      </c>
      <c r="F27" s="14" t="s">
        <v>61</v>
      </c>
      <c r="G27" s="14" t="s">
        <v>62</v>
      </c>
      <c r="H27" s="7" t="e">
        <f t="shared" si="0"/>
        <v>#VALUE!</v>
      </c>
      <c r="I27" s="7"/>
      <c r="J27" s="1" t="b">
        <v>0</v>
      </c>
    </row>
    <row r="28" s="2" customFormat="1" ht="21.95" customHeight="1" spans="1:10">
      <c r="A28" s="10" t="s">
        <v>42</v>
      </c>
      <c r="B28" s="11"/>
      <c r="C28" s="11"/>
      <c r="D28" s="11"/>
      <c r="E28" s="11"/>
      <c r="F28" s="27"/>
      <c r="G28" s="27"/>
      <c r="H28" s="7"/>
      <c r="I28" s="32"/>
      <c r="J28" s="2" t="b">
        <v>1</v>
      </c>
    </row>
    <row r="29" s="1" customFormat="1" ht="21.95" customHeight="1" spans="1:10">
      <c r="A29" s="16"/>
      <c r="B29" s="12"/>
      <c r="C29" s="13"/>
      <c r="D29" s="13"/>
      <c r="E29" s="13"/>
      <c r="F29" s="28"/>
      <c r="G29" s="28"/>
      <c r="H29" s="7"/>
      <c r="I29" s="33"/>
      <c r="J29" s="1" t="b">
        <v>1</v>
      </c>
    </row>
    <row r="30" s="1" customFormat="1" ht="21.95" customHeight="1" spans="1:10">
      <c r="A30" s="7">
        <v>9</v>
      </c>
      <c r="B30" s="7" t="s">
        <v>63</v>
      </c>
      <c r="C30" s="7" t="s">
        <v>64</v>
      </c>
      <c r="D30" s="14" t="s">
        <v>65</v>
      </c>
      <c r="E30" s="30" t="s">
        <v>14</v>
      </c>
      <c r="F30" s="14" t="s">
        <v>66</v>
      </c>
      <c r="G30" s="14" t="s">
        <v>67</v>
      </c>
      <c r="H30" s="7" t="e">
        <f t="shared" si="0"/>
        <v>#VALUE!</v>
      </c>
      <c r="I30" s="36" t="s">
        <v>49</v>
      </c>
      <c r="J30" s="1" t="b">
        <v>0</v>
      </c>
    </row>
    <row r="31" s="1" customFormat="1" ht="21.95" customHeight="1" spans="1:10">
      <c r="A31" s="17"/>
      <c r="B31" s="17"/>
      <c r="C31" s="17"/>
      <c r="D31" s="18"/>
      <c r="E31" s="18"/>
      <c r="F31" s="18"/>
      <c r="G31" s="18"/>
      <c r="H31" s="7"/>
      <c r="I31" s="38"/>
      <c r="J31" s="1" t="b">
        <v>1</v>
      </c>
    </row>
    <row r="32" s="1" customFormat="1" ht="21.95" customHeight="1" spans="1:10">
      <c r="A32" s="7"/>
      <c r="B32" s="7" t="s">
        <v>68</v>
      </c>
      <c r="C32" s="7" t="s">
        <v>64</v>
      </c>
      <c r="D32" s="14" t="s">
        <v>69</v>
      </c>
      <c r="E32" s="14">
        <v>1</v>
      </c>
      <c r="F32" s="14">
        <v>3052</v>
      </c>
      <c r="G32" s="14"/>
      <c r="H32" s="7">
        <f t="shared" si="0"/>
        <v>-3052</v>
      </c>
      <c r="I32" s="36" t="s">
        <v>70</v>
      </c>
      <c r="J32" s="1" t="b">
        <v>1</v>
      </c>
    </row>
    <row r="33" s="1" customFormat="1" ht="21.95" customHeight="1" spans="1:10">
      <c r="A33" s="17"/>
      <c r="B33" s="17"/>
      <c r="C33" s="17"/>
      <c r="D33" s="18"/>
      <c r="E33" s="18"/>
      <c r="F33" s="18"/>
      <c r="G33" s="18"/>
      <c r="H33" s="7"/>
      <c r="I33" s="17"/>
      <c r="J33" s="1" t="b">
        <v>1</v>
      </c>
    </row>
    <row r="34" s="1" customFormat="1" ht="21.95" customHeight="1" spans="1:10">
      <c r="A34" s="7">
        <v>10</v>
      </c>
      <c r="B34" s="7" t="s">
        <v>71</v>
      </c>
      <c r="C34" s="7" t="s">
        <v>12</v>
      </c>
      <c r="D34" s="14" t="s">
        <v>72</v>
      </c>
      <c r="E34" s="26" t="s">
        <v>14</v>
      </c>
      <c r="F34" s="14" t="s">
        <v>73</v>
      </c>
      <c r="G34" s="14" t="s">
        <v>74</v>
      </c>
      <c r="H34" s="7" t="e">
        <f t="shared" si="0"/>
        <v>#VALUE!</v>
      </c>
      <c r="I34" s="7"/>
      <c r="J34" s="1" t="b">
        <v>0</v>
      </c>
    </row>
    <row r="35" s="1" customFormat="1" ht="21.95" customHeight="1" spans="1:10">
      <c r="A35" s="15"/>
      <c r="B35" s="15"/>
      <c r="C35" s="7"/>
      <c r="D35" s="14" t="s">
        <v>75</v>
      </c>
      <c r="E35" s="26" t="s">
        <v>14</v>
      </c>
      <c r="F35" s="14" t="s">
        <v>76</v>
      </c>
      <c r="G35" s="14" t="s">
        <v>77</v>
      </c>
      <c r="H35" s="7" t="e">
        <f t="shared" si="0"/>
        <v>#VALUE!</v>
      </c>
      <c r="I35" s="7"/>
      <c r="J35" s="1" t="b">
        <v>0</v>
      </c>
    </row>
    <row r="36" s="1" customFormat="1" ht="21.95" customHeight="1" spans="1:10">
      <c r="A36" s="15"/>
      <c r="B36" s="15"/>
      <c r="C36" s="7"/>
      <c r="D36" s="14" t="s">
        <v>78</v>
      </c>
      <c r="E36" s="26" t="s">
        <v>14</v>
      </c>
      <c r="F36" s="14" t="s">
        <v>79</v>
      </c>
      <c r="G36" s="14" t="s">
        <v>80</v>
      </c>
      <c r="H36" s="7" t="e">
        <f t="shared" si="0"/>
        <v>#VALUE!</v>
      </c>
      <c r="I36" s="7"/>
      <c r="J36" s="1" t="b">
        <v>0</v>
      </c>
    </row>
    <row r="37" s="1" customFormat="1" ht="21.95" customHeight="1" spans="1:10">
      <c r="A37" s="8"/>
      <c r="B37" s="8"/>
      <c r="C37" s="7"/>
      <c r="D37" s="14" t="s">
        <v>81</v>
      </c>
      <c r="E37" s="26" t="s">
        <v>14</v>
      </c>
      <c r="F37" s="14" t="s">
        <v>82</v>
      </c>
      <c r="G37" s="14" t="s">
        <v>83</v>
      </c>
      <c r="H37" s="7" t="e">
        <f t="shared" si="0"/>
        <v>#VALUE!</v>
      </c>
      <c r="I37" s="7"/>
      <c r="J37" s="1" t="b">
        <v>0</v>
      </c>
    </row>
    <row r="38" s="1" customFormat="1" ht="21.95" customHeight="1" spans="1:10">
      <c r="A38" s="10" t="s">
        <v>42</v>
      </c>
      <c r="B38" s="11"/>
      <c r="C38" s="11"/>
      <c r="D38" s="11"/>
      <c r="E38" s="11"/>
      <c r="F38" s="27"/>
      <c r="G38" s="27"/>
      <c r="H38" s="7"/>
      <c r="I38" s="7"/>
      <c r="J38" s="1" t="b">
        <v>1</v>
      </c>
    </row>
    <row r="39" s="1" customFormat="1" ht="21.95" customHeight="1" spans="1:10">
      <c r="A39" s="16"/>
      <c r="B39" s="12"/>
      <c r="C39" s="13"/>
      <c r="D39" s="13"/>
      <c r="E39" s="13"/>
      <c r="F39" s="28"/>
      <c r="G39" s="28"/>
      <c r="H39" s="7"/>
      <c r="I39" s="33"/>
      <c r="J39" s="1" t="b">
        <v>1</v>
      </c>
    </row>
    <row r="40" s="1" customFormat="1" ht="21.95" customHeight="1" spans="1:10">
      <c r="A40" s="7">
        <v>11</v>
      </c>
      <c r="B40" s="7" t="s">
        <v>84</v>
      </c>
      <c r="C40" s="7" t="s">
        <v>12</v>
      </c>
      <c r="D40" s="14" t="s">
        <v>85</v>
      </c>
      <c r="E40" s="26" t="s">
        <v>14</v>
      </c>
      <c r="F40" s="14" t="s">
        <v>86</v>
      </c>
      <c r="G40" s="14" t="s">
        <v>87</v>
      </c>
      <c r="H40" s="7" t="e">
        <f t="shared" si="0"/>
        <v>#VALUE!</v>
      </c>
      <c r="I40" s="39" t="s">
        <v>88</v>
      </c>
      <c r="J40" s="1" t="b">
        <v>0</v>
      </c>
    </row>
    <row r="41" s="1" customFormat="1" ht="21.95" customHeight="1" spans="1:10">
      <c r="A41" s="15"/>
      <c r="B41" s="15"/>
      <c r="C41" s="7"/>
      <c r="D41" s="14"/>
      <c r="E41" s="26"/>
      <c r="F41" s="14">
        <v>0</v>
      </c>
      <c r="G41" s="14"/>
      <c r="H41" s="7"/>
      <c r="I41" s="40" t="s">
        <v>89</v>
      </c>
      <c r="J41" s="1" t="b">
        <v>1</v>
      </c>
    </row>
    <row r="42" s="1" customFormat="1" ht="21.95" customHeight="1" spans="1:10">
      <c r="A42" s="8"/>
      <c r="B42" s="8"/>
      <c r="C42" s="7"/>
      <c r="D42" s="9" t="s">
        <v>90</v>
      </c>
      <c r="E42" s="26" t="s">
        <v>14</v>
      </c>
      <c r="F42" s="14" t="s">
        <v>91</v>
      </c>
      <c r="G42" s="14" t="s">
        <v>92</v>
      </c>
      <c r="H42" s="7" t="e">
        <f t="shared" si="0"/>
        <v>#VALUE!</v>
      </c>
      <c r="I42" s="39" t="s">
        <v>93</v>
      </c>
      <c r="J42" s="1" t="b">
        <v>0</v>
      </c>
    </row>
    <row r="43" s="1" customFormat="1" ht="21.95" customHeight="1" spans="1:10">
      <c r="A43" s="19"/>
      <c r="B43" s="20"/>
      <c r="C43" s="7"/>
      <c r="D43" s="9"/>
      <c r="E43" s="26"/>
      <c r="F43" s="14">
        <v>0</v>
      </c>
      <c r="G43" s="14"/>
      <c r="H43" s="7"/>
      <c r="I43" s="40" t="s">
        <v>89</v>
      </c>
      <c r="J43" s="1" t="b">
        <v>1</v>
      </c>
    </row>
    <row r="44" s="2" customFormat="1" ht="21.95" customHeight="1" spans="1:10">
      <c r="A44" s="10" t="s">
        <v>42</v>
      </c>
      <c r="B44" s="11"/>
      <c r="C44" s="11"/>
      <c r="D44" s="11"/>
      <c r="E44" s="11"/>
      <c r="F44" s="27"/>
      <c r="G44" s="27"/>
      <c r="H44" s="7"/>
      <c r="I44" s="32"/>
      <c r="J44" s="2" t="b">
        <v>1</v>
      </c>
    </row>
    <row r="45" s="2" customFormat="1" ht="21.95" customHeight="1" spans="1:10">
      <c r="A45" s="16"/>
      <c r="B45" s="12"/>
      <c r="C45" s="13"/>
      <c r="D45" s="13"/>
      <c r="E45" s="13"/>
      <c r="F45" s="31"/>
      <c r="G45" s="11"/>
      <c r="H45" s="7"/>
      <c r="I45" s="11"/>
      <c r="J45" s="2" t="b">
        <v>1</v>
      </c>
    </row>
    <row r="46" s="2" customFormat="1" ht="21.95" customHeight="1" spans="1:10">
      <c r="A46" s="21">
        <v>12</v>
      </c>
      <c r="B46" s="21" t="s">
        <v>94</v>
      </c>
      <c r="C46" s="7" t="s">
        <v>12</v>
      </c>
      <c r="D46" s="22" t="s">
        <v>95</v>
      </c>
      <c r="E46" s="26" t="s">
        <v>14</v>
      </c>
      <c r="F46" s="22" t="s">
        <v>96</v>
      </c>
      <c r="G46" s="22" t="s">
        <v>97</v>
      </c>
      <c r="H46" s="7" t="e">
        <f t="shared" ref="H46:H77" si="1">G46-F46</f>
        <v>#VALUE!</v>
      </c>
      <c r="I46" s="41"/>
      <c r="J46" s="2" t="b">
        <v>0</v>
      </c>
    </row>
    <row r="47" s="2" customFormat="1" ht="21.95" customHeight="1" spans="1:10">
      <c r="A47" s="15"/>
      <c r="B47" s="15"/>
      <c r="C47" s="22"/>
      <c r="D47" s="22" t="s">
        <v>98</v>
      </c>
      <c r="E47" s="26" t="s">
        <v>14</v>
      </c>
      <c r="F47" s="22" t="s">
        <v>99</v>
      </c>
      <c r="G47" s="22" t="s">
        <v>100</v>
      </c>
      <c r="H47" s="7" t="e">
        <f t="shared" si="1"/>
        <v>#VALUE!</v>
      </c>
      <c r="I47" s="41"/>
      <c r="J47" s="2" t="b">
        <v>0</v>
      </c>
    </row>
    <row r="48" s="1" customFormat="1" ht="21.95" customHeight="1" spans="1:10">
      <c r="A48" s="8"/>
      <c r="B48" s="8"/>
      <c r="C48" s="7"/>
      <c r="D48" s="14" t="s">
        <v>101</v>
      </c>
      <c r="E48" s="26" t="s">
        <v>14</v>
      </c>
      <c r="F48" s="14" t="s">
        <v>102</v>
      </c>
      <c r="G48" s="14" t="s">
        <v>103</v>
      </c>
      <c r="H48" s="7" t="e">
        <f t="shared" si="1"/>
        <v>#VALUE!</v>
      </c>
      <c r="I48" s="41"/>
      <c r="J48" s="1" t="b">
        <v>0</v>
      </c>
    </row>
    <row r="49" s="2" customFormat="1" ht="21.95" customHeight="1" spans="1:10">
      <c r="A49" s="10" t="s">
        <v>42</v>
      </c>
      <c r="B49" s="11"/>
      <c r="C49" s="11"/>
      <c r="D49" s="11"/>
      <c r="E49" s="11"/>
      <c r="F49" s="27"/>
      <c r="G49" s="27"/>
      <c r="H49" s="7"/>
      <c r="I49" s="41"/>
      <c r="J49" s="2" t="b">
        <v>1</v>
      </c>
    </row>
    <row r="50" s="2" customFormat="1" ht="21.95" customHeight="1" spans="1:10">
      <c r="A50" s="16"/>
      <c r="B50" s="12"/>
      <c r="C50" s="13"/>
      <c r="D50" s="13"/>
      <c r="E50" s="13"/>
      <c r="F50" s="28"/>
      <c r="G50" s="28"/>
      <c r="H50" s="7"/>
      <c r="I50" s="42"/>
      <c r="J50" s="2" t="b">
        <v>1</v>
      </c>
    </row>
    <row r="51" s="1" customFormat="1" ht="21.95" customHeight="1" spans="1:10">
      <c r="A51" s="7">
        <v>13</v>
      </c>
      <c r="B51" s="7" t="s">
        <v>104</v>
      </c>
      <c r="C51" s="7" t="s">
        <v>12</v>
      </c>
      <c r="D51" s="14" t="s">
        <v>105</v>
      </c>
      <c r="E51" s="26" t="s">
        <v>14</v>
      </c>
      <c r="F51" s="14" t="s">
        <v>106</v>
      </c>
      <c r="G51" s="14" t="s">
        <v>107</v>
      </c>
      <c r="H51" s="7" t="e">
        <f t="shared" si="1"/>
        <v>#VALUE!</v>
      </c>
      <c r="I51" s="41"/>
      <c r="J51" s="1" t="b">
        <v>0</v>
      </c>
    </row>
    <row r="52" s="1" customFormat="1" ht="21.95" customHeight="1" spans="1:10">
      <c r="A52" s="7"/>
      <c r="B52" s="7" t="s">
        <v>108</v>
      </c>
      <c r="C52" s="7" t="s">
        <v>12</v>
      </c>
      <c r="D52" s="14" t="s">
        <v>109</v>
      </c>
      <c r="E52" s="26" t="s">
        <v>14</v>
      </c>
      <c r="F52" s="14" t="s">
        <v>110</v>
      </c>
      <c r="G52" s="14" t="s">
        <v>111</v>
      </c>
      <c r="H52" s="7" t="e">
        <f t="shared" si="1"/>
        <v>#VALUE!</v>
      </c>
      <c r="I52" s="41"/>
      <c r="J52" s="1" t="b">
        <v>0</v>
      </c>
    </row>
    <row r="53" s="2" customFormat="1" ht="21.95" customHeight="1" spans="1:10">
      <c r="A53" s="10" t="s">
        <v>42</v>
      </c>
      <c r="B53" s="11"/>
      <c r="C53" s="11"/>
      <c r="D53" s="11"/>
      <c r="E53" s="11"/>
      <c r="F53" s="27"/>
      <c r="G53" s="27"/>
      <c r="H53" s="7"/>
      <c r="I53" s="32"/>
      <c r="J53" s="2" t="b">
        <v>1</v>
      </c>
    </row>
    <row r="54" s="2" customFormat="1" ht="21.95" customHeight="1" spans="1:10">
      <c r="A54" s="16"/>
      <c r="B54" s="12"/>
      <c r="C54" s="13"/>
      <c r="D54" s="13"/>
      <c r="E54" s="13"/>
      <c r="F54" s="28"/>
      <c r="G54" s="28"/>
      <c r="H54" s="7"/>
      <c r="I54" s="33"/>
      <c r="J54" s="2" t="b">
        <v>1</v>
      </c>
    </row>
    <row r="55" s="1" customFormat="1" ht="21.95" customHeight="1" spans="1:10">
      <c r="A55" s="7">
        <v>14</v>
      </c>
      <c r="B55" s="7" t="s">
        <v>112</v>
      </c>
      <c r="C55" s="7" t="s">
        <v>12</v>
      </c>
      <c r="D55" s="14" t="s">
        <v>113</v>
      </c>
      <c r="E55" s="26" t="s">
        <v>14</v>
      </c>
      <c r="F55" s="14" t="s">
        <v>114</v>
      </c>
      <c r="G55" s="14" t="s">
        <v>115</v>
      </c>
      <c r="H55" s="7" t="e">
        <f t="shared" si="1"/>
        <v>#VALUE!</v>
      </c>
      <c r="I55" s="41"/>
      <c r="J55" s="1" t="b">
        <v>0</v>
      </c>
    </row>
    <row r="56" s="1" customFormat="1" ht="21.95" customHeight="1" spans="1:10">
      <c r="A56" s="16"/>
      <c r="B56" s="12"/>
      <c r="C56" s="13"/>
      <c r="D56" s="13"/>
      <c r="E56" s="13"/>
      <c r="F56" s="28"/>
      <c r="G56" s="28"/>
      <c r="H56" s="7"/>
      <c r="I56" s="33"/>
      <c r="J56" s="1" t="b">
        <v>1</v>
      </c>
    </row>
    <row r="57" s="1" customFormat="1" ht="21.95" customHeight="1" spans="1:10">
      <c r="A57" s="7">
        <v>15</v>
      </c>
      <c r="B57" s="7" t="s">
        <v>116</v>
      </c>
      <c r="C57" s="7" t="s">
        <v>12</v>
      </c>
      <c r="D57" s="9" t="s">
        <v>117</v>
      </c>
      <c r="E57" s="26" t="s">
        <v>14</v>
      </c>
      <c r="F57" s="14" t="s">
        <v>118</v>
      </c>
      <c r="G57" s="14" t="s">
        <v>119</v>
      </c>
      <c r="H57" s="7" t="e">
        <f t="shared" si="1"/>
        <v>#VALUE!</v>
      </c>
      <c r="I57" s="43" t="s">
        <v>120</v>
      </c>
      <c r="J57" s="1" t="b">
        <v>0</v>
      </c>
    </row>
    <row r="58" s="1" customFormat="1" ht="21.95" customHeight="1" spans="1:10">
      <c r="A58" s="16"/>
      <c r="B58" s="12"/>
      <c r="C58" s="13"/>
      <c r="D58" s="13"/>
      <c r="E58" s="13"/>
      <c r="F58" s="28"/>
      <c r="G58" s="28"/>
      <c r="H58" s="7"/>
      <c r="I58" s="33"/>
      <c r="J58" s="1" t="b">
        <v>1</v>
      </c>
    </row>
    <row r="59" s="1" customFormat="1" ht="21.95" customHeight="1" spans="1:10">
      <c r="A59" s="7">
        <v>16</v>
      </c>
      <c r="B59" s="7" t="s">
        <v>121</v>
      </c>
      <c r="C59" s="7" t="s">
        <v>12</v>
      </c>
      <c r="D59" s="9" t="s">
        <v>122</v>
      </c>
      <c r="E59" s="26" t="s">
        <v>14</v>
      </c>
      <c r="F59" s="14" t="s">
        <v>123</v>
      </c>
      <c r="G59" s="14" t="s">
        <v>124</v>
      </c>
      <c r="H59" s="7" t="e">
        <f t="shared" si="1"/>
        <v>#VALUE!</v>
      </c>
      <c r="I59" s="41"/>
      <c r="J59" s="1" t="b">
        <v>0</v>
      </c>
    </row>
    <row r="60" s="1" customFormat="1" ht="21.95" customHeight="1" spans="1:10">
      <c r="A60" s="16"/>
      <c r="B60" s="12"/>
      <c r="C60" s="13"/>
      <c r="D60" s="13"/>
      <c r="E60" s="13"/>
      <c r="F60" s="28"/>
      <c r="G60" s="28"/>
      <c r="H60" s="7"/>
      <c r="I60" s="33"/>
      <c r="J60" s="1" t="b">
        <v>1</v>
      </c>
    </row>
    <row r="61" s="1" customFormat="1" ht="21.95" customHeight="1" spans="1:10">
      <c r="A61" s="7">
        <v>17</v>
      </c>
      <c r="B61" s="7" t="s">
        <v>125</v>
      </c>
      <c r="C61" s="7" t="s">
        <v>126</v>
      </c>
      <c r="D61" s="14" t="s">
        <v>127</v>
      </c>
      <c r="E61" s="26" t="s">
        <v>14</v>
      </c>
      <c r="F61" s="14" t="s">
        <v>128</v>
      </c>
      <c r="G61" s="14" t="s">
        <v>129</v>
      </c>
      <c r="H61" s="7" t="e">
        <f t="shared" si="1"/>
        <v>#VALUE!</v>
      </c>
      <c r="I61" s="32"/>
      <c r="J61" s="1" t="b">
        <v>0</v>
      </c>
    </row>
    <row r="62" s="1" customFormat="1" ht="21.95" customHeight="1" spans="1:10">
      <c r="A62" s="15"/>
      <c r="B62" s="15"/>
      <c r="C62" s="7" t="s">
        <v>126</v>
      </c>
      <c r="D62" s="14" t="s">
        <v>130</v>
      </c>
      <c r="E62" s="26" t="s">
        <v>14</v>
      </c>
      <c r="F62" s="14" t="s">
        <v>131</v>
      </c>
      <c r="G62" s="14" t="s">
        <v>132</v>
      </c>
      <c r="H62" s="7" t="e">
        <f t="shared" si="1"/>
        <v>#VALUE!</v>
      </c>
      <c r="I62" s="7"/>
      <c r="J62" s="1" t="b">
        <v>0</v>
      </c>
    </row>
    <row r="63" s="1" customFormat="1" ht="21.95" customHeight="1" spans="1:10">
      <c r="A63" s="15"/>
      <c r="B63" s="15"/>
      <c r="C63" s="7" t="s">
        <v>12</v>
      </c>
      <c r="D63" s="14" t="s">
        <v>133</v>
      </c>
      <c r="E63" s="26" t="s">
        <v>14</v>
      </c>
      <c r="F63" s="14" t="s">
        <v>134</v>
      </c>
      <c r="G63" s="14" t="s">
        <v>135</v>
      </c>
      <c r="H63" s="7" t="e">
        <f t="shared" si="1"/>
        <v>#VALUE!</v>
      </c>
      <c r="I63" s="7" t="s">
        <v>136</v>
      </c>
      <c r="J63" s="1" t="b">
        <v>0</v>
      </c>
    </row>
    <row r="64" s="1" customFormat="1" ht="21.95" customHeight="1" spans="1:10">
      <c r="A64" s="15"/>
      <c r="B64" s="15"/>
      <c r="C64" s="7" t="s">
        <v>126</v>
      </c>
      <c r="D64" s="14" t="s">
        <v>137</v>
      </c>
      <c r="E64" s="26" t="s">
        <v>14</v>
      </c>
      <c r="F64" s="14" t="s">
        <v>138</v>
      </c>
      <c r="G64" s="14" t="s">
        <v>139</v>
      </c>
      <c r="H64" s="7" t="e">
        <f t="shared" si="1"/>
        <v>#VALUE!</v>
      </c>
      <c r="I64" s="7"/>
      <c r="J64" s="1" t="b">
        <v>0</v>
      </c>
    </row>
    <row r="65" s="1" customFormat="1" ht="21.95" customHeight="1" spans="1:10">
      <c r="A65" s="15"/>
      <c r="B65" s="15"/>
      <c r="C65" s="7" t="s">
        <v>126</v>
      </c>
      <c r="D65" s="14" t="s">
        <v>140</v>
      </c>
      <c r="E65" s="26" t="s">
        <v>14</v>
      </c>
      <c r="F65" s="14" t="s">
        <v>141</v>
      </c>
      <c r="G65" s="14" t="s">
        <v>142</v>
      </c>
      <c r="H65" s="7" t="e">
        <f t="shared" si="1"/>
        <v>#VALUE!</v>
      </c>
      <c r="I65" s="7"/>
      <c r="J65" s="1" t="b">
        <v>0</v>
      </c>
    </row>
    <row r="66" s="1" customFormat="1" ht="21.95" customHeight="1" spans="1:10">
      <c r="A66" s="8"/>
      <c r="B66" s="8"/>
      <c r="C66" s="7" t="s">
        <v>12</v>
      </c>
      <c r="D66" s="14" t="s">
        <v>143</v>
      </c>
      <c r="E66" s="26" t="s">
        <v>14</v>
      </c>
      <c r="F66" s="14" t="s">
        <v>144</v>
      </c>
      <c r="G66" s="14" t="s">
        <v>145</v>
      </c>
      <c r="H66" s="7" t="e">
        <f t="shared" si="1"/>
        <v>#VALUE!</v>
      </c>
      <c r="I66" s="7" t="s">
        <v>146</v>
      </c>
      <c r="J66" s="1" t="b">
        <v>0</v>
      </c>
    </row>
    <row r="67" s="1" customFormat="1" ht="21.95" customHeight="1" spans="1:10">
      <c r="A67" s="10" t="s">
        <v>42</v>
      </c>
      <c r="B67" s="11"/>
      <c r="C67" s="11"/>
      <c r="D67" s="11"/>
      <c r="E67" s="11"/>
      <c r="F67" s="27"/>
      <c r="G67" s="27"/>
      <c r="H67" s="7"/>
      <c r="I67" s="32"/>
      <c r="J67" s="1" t="b">
        <v>1</v>
      </c>
    </row>
    <row r="68" s="1" customFormat="1" ht="21.95" customHeight="1" spans="1:10">
      <c r="A68" s="16"/>
      <c r="B68" s="12"/>
      <c r="C68" s="13"/>
      <c r="D68" s="13"/>
      <c r="E68" s="13"/>
      <c r="F68" s="28"/>
      <c r="G68" s="28"/>
      <c r="H68" s="7"/>
      <c r="I68" s="33"/>
      <c r="J68" s="1" t="b">
        <v>1</v>
      </c>
    </row>
    <row r="69" s="1" customFormat="1" ht="21.95" customHeight="1" spans="1:10">
      <c r="A69" s="7">
        <v>18</v>
      </c>
      <c r="B69" s="7" t="s">
        <v>147</v>
      </c>
      <c r="C69" s="7" t="s">
        <v>148</v>
      </c>
      <c r="D69" s="14" t="s">
        <v>149</v>
      </c>
      <c r="E69" s="26" t="s">
        <v>14</v>
      </c>
      <c r="F69" s="14" t="s">
        <v>150</v>
      </c>
      <c r="G69" s="14" t="s">
        <v>151</v>
      </c>
      <c r="H69" s="7" t="e">
        <f t="shared" si="1"/>
        <v>#VALUE!</v>
      </c>
      <c r="I69" s="7"/>
      <c r="J69" s="1" t="b">
        <v>0</v>
      </c>
    </row>
    <row r="70" s="1" customFormat="1" ht="21.95" customHeight="1" spans="1:10">
      <c r="A70" s="15"/>
      <c r="B70" s="15"/>
      <c r="C70" s="7"/>
      <c r="D70" s="14" t="s">
        <v>152</v>
      </c>
      <c r="E70" s="26" t="s">
        <v>14</v>
      </c>
      <c r="F70" s="14" t="s">
        <v>153</v>
      </c>
      <c r="G70" s="14" t="s">
        <v>154</v>
      </c>
      <c r="H70" s="7" t="e">
        <f t="shared" si="1"/>
        <v>#VALUE!</v>
      </c>
      <c r="I70" s="7"/>
      <c r="J70" s="1" t="b">
        <v>0</v>
      </c>
    </row>
    <row r="71" s="1" customFormat="1" ht="21.95" customHeight="1" spans="1:10">
      <c r="A71" s="15"/>
      <c r="B71" s="15"/>
      <c r="C71" s="7" t="s">
        <v>155</v>
      </c>
      <c r="D71" s="9" t="s">
        <v>156</v>
      </c>
      <c r="E71" s="26" t="s">
        <v>14</v>
      </c>
      <c r="F71" s="14">
        <v>77</v>
      </c>
      <c r="G71" s="14"/>
      <c r="H71" s="7">
        <f t="shared" si="1"/>
        <v>-77</v>
      </c>
      <c r="I71" s="32"/>
      <c r="J71" s="1" t="b">
        <v>0</v>
      </c>
    </row>
    <row r="72" s="1" customFormat="1" ht="21.95" customHeight="1" spans="1:10">
      <c r="A72" s="15"/>
      <c r="B72" s="15"/>
      <c r="C72" s="7"/>
      <c r="D72" s="9" t="s">
        <v>157</v>
      </c>
      <c r="E72" s="26" t="s">
        <v>14</v>
      </c>
      <c r="F72" s="14">
        <v>0</v>
      </c>
      <c r="G72" s="14"/>
      <c r="H72" s="7">
        <f t="shared" si="1"/>
        <v>0</v>
      </c>
      <c r="I72" s="7"/>
      <c r="J72" s="1" t="b">
        <v>0</v>
      </c>
    </row>
    <row r="73" s="1" customFormat="1" ht="21.95" customHeight="1" spans="1:10">
      <c r="A73" s="8"/>
      <c r="B73" s="8"/>
      <c r="C73" s="7"/>
      <c r="D73" s="9" t="s">
        <v>158</v>
      </c>
      <c r="E73" s="26" t="s">
        <v>14</v>
      </c>
      <c r="F73" s="14">
        <v>12964</v>
      </c>
      <c r="G73" s="14"/>
      <c r="H73" s="7">
        <f t="shared" si="1"/>
        <v>-12964</v>
      </c>
      <c r="I73" s="32"/>
      <c r="J73" s="1" t="b">
        <v>0</v>
      </c>
    </row>
    <row r="74" s="1" customFormat="1" ht="21.95" customHeight="1" spans="1:10">
      <c r="A74" s="10" t="s">
        <v>42</v>
      </c>
      <c r="B74" s="11"/>
      <c r="C74" s="11"/>
      <c r="D74" s="11"/>
      <c r="E74" s="11"/>
      <c r="F74" s="27"/>
      <c r="G74" s="27"/>
      <c r="H74" s="7"/>
      <c r="I74" s="32"/>
      <c r="J74" s="1" t="b">
        <v>1</v>
      </c>
    </row>
    <row r="75" s="1" customFormat="1" ht="21.95" customHeight="1" spans="1:10">
      <c r="A75" s="16"/>
      <c r="B75" s="12"/>
      <c r="C75" s="13"/>
      <c r="D75" s="13"/>
      <c r="E75" s="13"/>
      <c r="F75" s="28"/>
      <c r="G75" s="28"/>
      <c r="H75" s="7"/>
      <c r="I75" s="33"/>
      <c r="J75" s="1" t="b">
        <v>1</v>
      </c>
    </row>
    <row r="76" s="1" customFormat="1" ht="21.95" customHeight="1" spans="1:10">
      <c r="A76" s="7">
        <v>19</v>
      </c>
      <c r="B76" s="7" t="s">
        <v>159</v>
      </c>
      <c r="C76" s="7" t="s">
        <v>160</v>
      </c>
      <c r="D76" s="14" t="s">
        <v>161</v>
      </c>
      <c r="E76" s="26" t="s">
        <v>14</v>
      </c>
      <c r="F76" s="14">
        <v>100891</v>
      </c>
      <c r="G76" s="14"/>
      <c r="H76" s="7">
        <f t="shared" si="1"/>
        <v>-100891</v>
      </c>
      <c r="I76" s="32"/>
      <c r="J76" s="1" t="b">
        <v>0</v>
      </c>
    </row>
    <row r="77" s="1" customFormat="1" ht="21.95" customHeight="1" spans="1:10">
      <c r="A77" s="15"/>
      <c r="B77" s="15"/>
      <c r="C77" s="7" t="s">
        <v>162</v>
      </c>
      <c r="D77" s="14" t="s">
        <v>163</v>
      </c>
      <c r="E77" s="26" t="s">
        <v>14</v>
      </c>
      <c r="F77" s="14">
        <v>60242</v>
      </c>
      <c r="G77" s="14"/>
      <c r="H77" s="7">
        <f t="shared" si="1"/>
        <v>-60242</v>
      </c>
      <c r="I77" s="7"/>
      <c r="J77" s="1" t="b">
        <v>0</v>
      </c>
    </row>
    <row r="78" s="1" customFormat="1" ht="21.95" customHeight="1" spans="1:10">
      <c r="A78" s="15"/>
      <c r="B78" s="15"/>
      <c r="C78" s="7" t="s">
        <v>164</v>
      </c>
      <c r="D78" s="14" t="s">
        <v>165</v>
      </c>
      <c r="E78" s="26" t="s">
        <v>14</v>
      </c>
      <c r="F78" s="14">
        <v>14104</v>
      </c>
      <c r="G78" s="14"/>
      <c r="H78" s="7">
        <f t="shared" ref="H78:H97" si="2">G78-F78</f>
        <v>-14104</v>
      </c>
      <c r="I78" s="7"/>
      <c r="J78" s="1" t="b">
        <v>0</v>
      </c>
    </row>
    <row r="79" s="1" customFormat="1" ht="21.95" customHeight="1" spans="1:10">
      <c r="A79" s="15"/>
      <c r="B79" s="15"/>
      <c r="C79" s="7" t="s">
        <v>166</v>
      </c>
      <c r="D79" s="14" t="s">
        <v>167</v>
      </c>
      <c r="E79" s="26" t="s">
        <v>14</v>
      </c>
      <c r="F79" s="14">
        <v>26706</v>
      </c>
      <c r="G79" s="14"/>
      <c r="H79" s="7">
        <f t="shared" si="2"/>
        <v>-26706</v>
      </c>
      <c r="I79" s="7"/>
      <c r="J79" s="1" t="b">
        <v>0</v>
      </c>
    </row>
    <row r="80" s="1" customFormat="1" ht="21.95" customHeight="1" spans="1:10">
      <c r="A80" s="15"/>
      <c r="B80" s="15"/>
      <c r="C80" s="7" t="s">
        <v>168</v>
      </c>
      <c r="D80" s="14" t="s">
        <v>169</v>
      </c>
      <c r="E80" s="26" t="s">
        <v>14</v>
      </c>
      <c r="F80" s="14">
        <v>19407</v>
      </c>
      <c r="G80" s="14"/>
      <c r="H80" s="7">
        <f t="shared" si="2"/>
        <v>-19407</v>
      </c>
      <c r="I80" s="7"/>
      <c r="J80" s="1" t="b">
        <v>0</v>
      </c>
    </row>
    <row r="81" s="1" customFormat="1" ht="21.95" customHeight="1" spans="1:10">
      <c r="A81" s="8"/>
      <c r="B81" s="8"/>
      <c r="C81" s="7" t="s">
        <v>170</v>
      </c>
      <c r="D81" s="14" t="s">
        <v>171</v>
      </c>
      <c r="E81" s="26" t="s">
        <v>14</v>
      </c>
      <c r="F81" s="14">
        <v>102681</v>
      </c>
      <c r="G81" s="14"/>
      <c r="H81" s="7">
        <f t="shared" si="2"/>
        <v>-102681</v>
      </c>
      <c r="I81" s="7"/>
      <c r="J81" s="1" t="b">
        <v>0</v>
      </c>
    </row>
    <row r="82" s="1" customFormat="1" ht="21.95" customHeight="1" spans="1:10">
      <c r="A82" s="10" t="s">
        <v>42</v>
      </c>
      <c r="B82" s="11"/>
      <c r="C82" s="11"/>
      <c r="D82" s="11"/>
      <c r="E82" s="11"/>
      <c r="F82" s="27"/>
      <c r="G82" s="27"/>
      <c r="H82" s="7"/>
      <c r="I82" s="32"/>
      <c r="J82" s="1" t="b">
        <v>1</v>
      </c>
    </row>
    <row r="83" s="1" customFormat="1" ht="21.95" customHeight="1" spans="1:10">
      <c r="A83" s="16"/>
      <c r="B83" s="12"/>
      <c r="C83" s="13"/>
      <c r="D83" s="13"/>
      <c r="E83" s="13"/>
      <c r="F83" s="28"/>
      <c r="G83" s="28"/>
      <c r="H83" s="7"/>
      <c r="I83" s="33"/>
      <c r="J83" s="1" t="b">
        <v>1</v>
      </c>
    </row>
    <row r="84" s="1" customFormat="1" ht="21.95" customHeight="1" spans="1:10">
      <c r="A84" s="7">
        <v>20</v>
      </c>
      <c r="B84" s="7" t="s">
        <v>172</v>
      </c>
      <c r="C84" s="7" t="s">
        <v>173</v>
      </c>
      <c r="D84" s="14" t="s">
        <v>174</v>
      </c>
      <c r="E84" s="26" t="s">
        <v>14</v>
      </c>
      <c r="F84" s="14">
        <v>1673</v>
      </c>
      <c r="G84" s="14"/>
      <c r="H84" s="7">
        <f t="shared" si="2"/>
        <v>-1673</v>
      </c>
      <c r="I84" s="7"/>
      <c r="J84" s="1" t="b">
        <v>0</v>
      </c>
    </row>
    <row r="85" s="1" customFormat="1" ht="21.95" customHeight="1" spans="1:10">
      <c r="A85" s="15"/>
      <c r="B85" s="15"/>
      <c r="C85" s="7" t="s">
        <v>175</v>
      </c>
      <c r="D85" s="14" t="s">
        <v>174</v>
      </c>
      <c r="E85" s="26" t="s">
        <v>14</v>
      </c>
      <c r="F85" s="14">
        <v>2204</v>
      </c>
      <c r="G85" s="14"/>
      <c r="H85" s="7">
        <f t="shared" si="2"/>
        <v>-2204</v>
      </c>
      <c r="I85" s="7"/>
      <c r="J85" s="1" t="b">
        <v>0</v>
      </c>
    </row>
    <row r="86" s="1" customFormat="1" ht="21.95" customHeight="1" spans="1:10">
      <c r="A86" s="15"/>
      <c r="B86" s="15"/>
      <c r="C86" s="7" t="s">
        <v>176</v>
      </c>
      <c r="D86" s="14" t="s">
        <v>177</v>
      </c>
      <c r="E86" s="26" t="s">
        <v>14</v>
      </c>
      <c r="F86" s="14">
        <v>176</v>
      </c>
      <c r="G86" s="14"/>
      <c r="H86" s="7">
        <f t="shared" si="2"/>
        <v>-176</v>
      </c>
      <c r="I86" s="7"/>
      <c r="J86" s="1" t="b">
        <v>0</v>
      </c>
    </row>
    <row r="87" s="1" customFormat="1" ht="21.95" customHeight="1" spans="1:10">
      <c r="A87" s="15"/>
      <c r="B87" s="15"/>
      <c r="C87" s="7" t="s">
        <v>178</v>
      </c>
      <c r="D87" s="9" t="s">
        <v>179</v>
      </c>
      <c r="E87" s="26" t="s">
        <v>14</v>
      </c>
      <c r="F87" s="14">
        <v>15673</v>
      </c>
      <c r="G87" s="14"/>
      <c r="H87" s="7">
        <f t="shared" si="2"/>
        <v>-15673</v>
      </c>
      <c r="I87" s="32"/>
      <c r="J87" s="1" t="b">
        <v>0</v>
      </c>
    </row>
    <row r="88" s="1" customFormat="1" ht="21.95" customHeight="1" spans="1:10">
      <c r="A88" s="15"/>
      <c r="B88" s="15"/>
      <c r="C88" s="7" t="s">
        <v>180</v>
      </c>
      <c r="D88" s="9" t="s">
        <v>181</v>
      </c>
      <c r="E88" s="26" t="s">
        <v>14</v>
      </c>
      <c r="F88" s="14">
        <v>10551</v>
      </c>
      <c r="G88" s="14"/>
      <c r="H88" s="7">
        <f t="shared" si="2"/>
        <v>-10551</v>
      </c>
      <c r="I88" s="7"/>
      <c r="J88" s="1" t="b">
        <v>0</v>
      </c>
    </row>
    <row r="89" s="1" customFormat="1" ht="21.95" customHeight="1" spans="1:10">
      <c r="A89" s="15"/>
      <c r="B89" s="15"/>
      <c r="C89" s="7" t="s">
        <v>182</v>
      </c>
      <c r="D89" s="9" t="s">
        <v>183</v>
      </c>
      <c r="E89" s="26" t="s">
        <v>14</v>
      </c>
      <c r="F89" s="14" t="s">
        <v>184</v>
      </c>
      <c r="G89" s="14" t="s">
        <v>185</v>
      </c>
      <c r="H89" s="7" t="e">
        <f t="shared" si="2"/>
        <v>#VALUE!</v>
      </c>
      <c r="I89" s="32"/>
      <c r="J89" s="1" t="b">
        <v>0</v>
      </c>
    </row>
    <row r="90" s="1" customFormat="1" ht="21.95" customHeight="1" spans="1:10">
      <c r="A90" s="15"/>
      <c r="B90" s="15"/>
      <c r="C90" s="44" t="s">
        <v>186</v>
      </c>
      <c r="D90" s="9" t="s">
        <v>187</v>
      </c>
      <c r="E90" s="26" t="s">
        <v>14</v>
      </c>
      <c r="F90" s="14" t="s">
        <v>188</v>
      </c>
      <c r="G90" s="14" t="s">
        <v>189</v>
      </c>
      <c r="H90" s="7" t="e">
        <f t="shared" si="2"/>
        <v>#VALUE!</v>
      </c>
      <c r="I90" s="7"/>
      <c r="J90" s="1" t="b">
        <v>0</v>
      </c>
    </row>
    <row r="91" s="1" customFormat="1" ht="21.95" customHeight="1" spans="1:10">
      <c r="A91" s="15"/>
      <c r="B91" s="15"/>
      <c r="C91" s="44" t="s">
        <v>190</v>
      </c>
      <c r="D91" s="14" t="s">
        <v>191</v>
      </c>
      <c r="E91" s="26" t="s">
        <v>14</v>
      </c>
      <c r="F91" s="14" t="s">
        <v>192</v>
      </c>
      <c r="G91" s="14" t="s">
        <v>193</v>
      </c>
      <c r="H91" s="7" t="e">
        <f t="shared" si="2"/>
        <v>#VALUE!</v>
      </c>
      <c r="I91" s="7"/>
      <c r="J91" s="1" t="b">
        <v>0</v>
      </c>
    </row>
    <row r="92" s="1" customFormat="1" ht="21.95" customHeight="1" spans="1:10">
      <c r="A92" s="15"/>
      <c r="B92" s="15"/>
      <c r="C92" s="44" t="s">
        <v>194</v>
      </c>
      <c r="D92" s="14" t="s">
        <v>195</v>
      </c>
      <c r="E92" s="26" t="s">
        <v>14</v>
      </c>
      <c r="F92" s="14" t="s">
        <v>196</v>
      </c>
      <c r="G92" s="14" t="s">
        <v>197</v>
      </c>
      <c r="H92" s="7" t="e">
        <f t="shared" si="2"/>
        <v>#VALUE!</v>
      </c>
      <c r="I92" s="7"/>
      <c r="J92" s="1" t="b">
        <v>0</v>
      </c>
    </row>
    <row r="93" s="1" customFormat="1" ht="21.95" customHeight="1" spans="1:10">
      <c r="A93" s="15"/>
      <c r="B93" s="15"/>
      <c r="C93" s="44" t="s">
        <v>198</v>
      </c>
      <c r="D93" s="14" t="s">
        <v>199</v>
      </c>
      <c r="E93" s="26" t="s">
        <v>14</v>
      </c>
      <c r="F93" s="14" t="s">
        <v>200</v>
      </c>
      <c r="G93" s="14" t="s">
        <v>201</v>
      </c>
      <c r="H93" s="7" t="e">
        <f t="shared" si="2"/>
        <v>#VALUE!</v>
      </c>
      <c r="I93" s="7"/>
      <c r="J93" s="1" t="b">
        <v>0</v>
      </c>
    </row>
    <row r="94" s="1" customFormat="1" ht="21.95" customHeight="1" spans="1:10">
      <c r="A94" s="15"/>
      <c r="B94" s="15"/>
      <c r="C94" s="44" t="s">
        <v>202</v>
      </c>
      <c r="D94" s="14" t="s">
        <v>203</v>
      </c>
      <c r="E94" s="26" t="s">
        <v>14</v>
      </c>
      <c r="F94" s="14" t="s">
        <v>204</v>
      </c>
      <c r="G94" s="14" t="s">
        <v>205</v>
      </c>
      <c r="H94" s="7" t="e">
        <f t="shared" si="2"/>
        <v>#VALUE!</v>
      </c>
      <c r="I94" s="7"/>
      <c r="J94" s="1" t="b">
        <v>0</v>
      </c>
    </row>
    <row r="95" s="1" customFormat="1" ht="21.95" customHeight="1" spans="1:10">
      <c r="A95" s="15"/>
      <c r="B95" s="15"/>
      <c r="C95" s="44" t="s">
        <v>206</v>
      </c>
      <c r="D95" s="14" t="s">
        <v>207</v>
      </c>
      <c r="E95" s="26" t="s">
        <v>14</v>
      </c>
      <c r="F95" s="14" t="s">
        <v>208</v>
      </c>
      <c r="G95" s="14" t="s">
        <v>209</v>
      </c>
      <c r="H95" s="7" t="e">
        <f t="shared" si="2"/>
        <v>#VALUE!</v>
      </c>
      <c r="I95" s="7"/>
      <c r="J95" s="1" t="b">
        <v>0</v>
      </c>
    </row>
    <row r="96" s="1" customFormat="1" ht="21.95" customHeight="1" spans="1:10">
      <c r="A96" s="8"/>
      <c r="B96" s="8"/>
      <c r="C96" s="7" t="s">
        <v>210</v>
      </c>
      <c r="D96" s="14" t="s">
        <v>211</v>
      </c>
      <c r="E96" s="26" t="s">
        <v>14</v>
      </c>
      <c r="F96" s="14" t="s">
        <v>212</v>
      </c>
      <c r="G96" s="14" t="s">
        <v>213</v>
      </c>
      <c r="H96" s="7" t="e">
        <f t="shared" si="2"/>
        <v>#VALUE!</v>
      </c>
      <c r="I96" s="32"/>
      <c r="J96" s="1" t="b">
        <v>0</v>
      </c>
    </row>
    <row r="97" s="1" customFormat="1" ht="21.95" customHeight="1" spans="1:10">
      <c r="A97" s="45" t="s">
        <v>42</v>
      </c>
      <c r="B97" s="11"/>
      <c r="C97" s="11"/>
      <c r="D97" s="11"/>
      <c r="E97" s="47"/>
      <c r="F97" s="22"/>
      <c r="G97" s="22"/>
      <c r="H97" s="7"/>
      <c r="I97" s="32"/>
      <c r="J97" s="1" t="b">
        <v>1</v>
      </c>
    </row>
    <row r="98" s="1" customFormat="1" ht="21.95" customHeight="1" spans="1:10">
      <c r="A98" s="7"/>
      <c r="B98" s="11"/>
      <c r="C98" s="11"/>
      <c r="D98" s="11"/>
      <c r="E98" s="11"/>
      <c r="F98" s="11"/>
      <c r="G98" s="11"/>
      <c r="H98" s="7"/>
      <c r="I98" s="47"/>
      <c r="J98" s="1" t="b">
        <v>1</v>
      </c>
    </row>
    <row r="99" s="1" customFormat="1" ht="21.95" customHeight="1" spans="1:10">
      <c r="A99" s="7"/>
      <c r="B99" s="7" t="s">
        <v>214</v>
      </c>
      <c r="C99" s="7" t="s">
        <v>148</v>
      </c>
      <c r="D99" s="14" t="s">
        <v>98</v>
      </c>
      <c r="E99" s="9" t="s">
        <v>14</v>
      </c>
      <c r="F99" s="14" t="s">
        <v>99</v>
      </c>
      <c r="G99" s="14" t="s">
        <v>100</v>
      </c>
      <c r="H99" s="7" t="e">
        <f>G99-F99</f>
        <v>#VALUE!</v>
      </c>
      <c r="I99" s="32"/>
      <c r="J99" s="1" t="b">
        <v>0</v>
      </c>
    </row>
    <row r="100" s="1" customFormat="1" ht="21.95" customHeight="1" spans="1:10">
      <c r="A100" s="8"/>
      <c r="B100" s="8"/>
      <c r="C100" s="7" t="s">
        <v>148</v>
      </c>
      <c r="D100" s="14" t="s">
        <v>215</v>
      </c>
      <c r="E100" s="9" t="s">
        <v>14</v>
      </c>
      <c r="F100" s="14" t="s">
        <v>216</v>
      </c>
      <c r="G100" s="14" t="s">
        <v>217</v>
      </c>
      <c r="H100" s="7" t="e">
        <f>G100-F100</f>
        <v>#VALUE!</v>
      </c>
      <c r="I100" s="32"/>
      <c r="J100" s="1" t="b">
        <v>0</v>
      </c>
    </row>
    <row r="101" s="1" customFormat="1" ht="21.95" customHeight="1" spans="1:10">
      <c r="A101" s="7"/>
      <c r="B101" s="11"/>
      <c r="C101" s="11"/>
      <c r="D101" s="11"/>
      <c r="E101" s="11"/>
      <c r="F101" s="11"/>
      <c r="G101" s="11"/>
      <c r="H101" s="7"/>
      <c r="I101" s="47"/>
      <c r="J101" s="1" t="b">
        <v>1</v>
      </c>
    </row>
    <row r="102" s="1" customFormat="1" ht="21.95" customHeight="1" spans="1:10">
      <c r="A102" s="45" t="s">
        <v>42</v>
      </c>
      <c r="B102" s="11"/>
      <c r="C102" s="11"/>
      <c r="D102" s="11"/>
      <c r="E102" s="47"/>
      <c r="F102" s="22"/>
      <c r="G102" s="22"/>
      <c r="H102" s="7"/>
      <c r="I102" s="32"/>
      <c r="J102" s="1" t="b">
        <v>1</v>
      </c>
    </row>
    <row r="103" s="1" customFormat="1" ht="21.95" customHeight="1" spans="1:10">
      <c r="A103" s="7">
        <v>21</v>
      </c>
      <c r="B103" s="7" t="s">
        <v>218</v>
      </c>
      <c r="C103" s="7" t="s">
        <v>219</v>
      </c>
      <c r="D103" s="14" t="s">
        <v>220</v>
      </c>
      <c r="E103" s="30">
        <v>3000</v>
      </c>
      <c r="F103" s="14">
        <v>1698</v>
      </c>
      <c r="G103" s="14"/>
      <c r="H103" s="7">
        <f t="shared" ref="H102:H133" si="3">G103-F103</f>
        <v>-1698</v>
      </c>
      <c r="I103" s="32"/>
      <c r="J103" s="1" t="b">
        <v>0</v>
      </c>
    </row>
    <row r="104" s="1" customFormat="1" ht="21.95" customHeight="1" spans="1:10">
      <c r="A104" s="15"/>
      <c r="B104" s="15"/>
      <c r="C104" s="7" t="s">
        <v>221</v>
      </c>
      <c r="D104" s="14" t="s">
        <v>222</v>
      </c>
      <c r="E104" s="30">
        <v>3000</v>
      </c>
      <c r="F104" s="14">
        <v>1024</v>
      </c>
      <c r="G104" s="14"/>
      <c r="H104" s="7">
        <f t="shared" si="3"/>
        <v>-1024</v>
      </c>
      <c r="I104" s="7"/>
      <c r="J104" s="1" t="b">
        <v>0</v>
      </c>
    </row>
    <row r="105" s="1" customFormat="1" ht="21.95" customHeight="1" spans="1:10">
      <c r="A105" s="15"/>
      <c r="B105" s="15"/>
      <c r="C105" s="7" t="s">
        <v>223</v>
      </c>
      <c r="D105" s="14" t="s">
        <v>224</v>
      </c>
      <c r="E105" s="26" t="s">
        <v>14</v>
      </c>
      <c r="F105" s="14">
        <v>380339</v>
      </c>
      <c r="G105" s="14"/>
      <c r="H105" s="7">
        <f t="shared" si="3"/>
        <v>-380339</v>
      </c>
      <c r="I105" s="32"/>
      <c r="J105" s="1" t="b">
        <v>0</v>
      </c>
    </row>
    <row r="106" s="1" customFormat="1" ht="21.95" customHeight="1" spans="1:10">
      <c r="A106" s="15"/>
      <c r="B106" s="15"/>
      <c r="C106" s="7" t="s">
        <v>225</v>
      </c>
      <c r="D106" s="14" t="s">
        <v>224</v>
      </c>
      <c r="E106" s="26" t="s">
        <v>14</v>
      </c>
      <c r="F106" s="14">
        <v>30857</v>
      </c>
      <c r="G106" s="14"/>
      <c r="H106" s="7">
        <f t="shared" si="3"/>
        <v>-30857</v>
      </c>
      <c r="I106" s="32"/>
      <c r="J106" s="1" t="b">
        <v>0</v>
      </c>
    </row>
    <row r="107" s="1" customFormat="1" ht="21.95" customHeight="1" spans="1:10">
      <c r="A107" s="15"/>
      <c r="B107" s="15"/>
      <c r="C107" s="7" t="s">
        <v>226</v>
      </c>
      <c r="D107" s="14" t="s">
        <v>224</v>
      </c>
      <c r="E107" s="26" t="s">
        <v>14</v>
      </c>
      <c r="F107" s="14">
        <v>124989</v>
      </c>
      <c r="G107" s="14"/>
      <c r="H107" s="7">
        <f t="shared" si="3"/>
        <v>-124989</v>
      </c>
      <c r="I107" s="7"/>
      <c r="J107" s="1" t="b">
        <v>0</v>
      </c>
    </row>
    <row r="108" s="1" customFormat="1" ht="21.95" customHeight="1" spans="1:10">
      <c r="A108" s="15"/>
      <c r="B108" s="15"/>
      <c r="C108" s="7" t="s">
        <v>227</v>
      </c>
      <c r="D108" s="14" t="s">
        <v>224</v>
      </c>
      <c r="E108" s="26" t="s">
        <v>14</v>
      </c>
      <c r="F108" s="14">
        <v>34028</v>
      </c>
      <c r="G108" s="14"/>
      <c r="H108" s="7">
        <f t="shared" si="3"/>
        <v>-34028</v>
      </c>
      <c r="I108" s="32"/>
      <c r="J108" s="1" t="b">
        <v>0</v>
      </c>
    </row>
    <row r="109" s="1" customFormat="1" ht="21.95" customHeight="1" spans="1:10">
      <c r="A109" s="8"/>
      <c r="B109" s="8"/>
      <c r="C109" s="7" t="s">
        <v>228</v>
      </c>
      <c r="D109" s="14" t="s">
        <v>224</v>
      </c>
      <c r="E109" s="26" t="s">
        <v>14</v>
      </c>
      <c r="F109" s="14">
        <v>33220</v>
      </c>
      <c r="G109" s="14"/>
      <c r="H109" s="7">
        <f t="shared" si="3"/>
        <v>-33220</v>
      </c>
      <c r="I109" s="43" t="s">
        <v>229</v>
      </c>
      <c r="J109" s="1" t="b">
        <v>0</v>
      </c>
    </row>
    <row r="110" s="1" customFormat="1" ht="21.95" customHeight="1" spans="1:10">
      <c r="A110" s="10" t="s">
        <v>42</v>
      </c>
      <c r="B110" s="11"/>
      <c r="C110" s="11"/>
      <c r="D110" s="11"/>
      <c r="E110" s="11"/>
      <c r="F110" s="27"/>
      <c r="G110" s="27"/>
      <c r="H110" s="7"/>
      <c r="I110" s="32"/>
      <c r="J110" s="1" t="b">
        <v>1</v>
      </c>
    </row>
    <row r="111" s="1" customFormat="1" ht="21.95" customHeight="1" spans="1:10">
      <c r="A111" s="16"/>
      <c r="B111" s="12"/>
      <c r="C111" s="13"/>
      <c r="D111" s="13"/>
      <c r="E111" s="13"/>
      <c r="F111" s="28"/>
      <c r="G111" s="28"/>
      <c r="H111" s="7"/>
      <c r="I111" s="33"/>
      <c r="J111" s="1" t="b">
        <v>1</v>
      </c>
    </row>
    <row r="112" s="1" customFormat="1" ht="21.95" customHeight="1" spans="1:10">
      <c r="A112" s="7">
        <v>22</v>
      </c>
      <c r="B112" s="7" t="s">
        <v>230</v>
      </c>
      <c r="C112" s="7" t="s">
        <v>231</v>
      </c>
      <c r="D112" s="14" t="s">
        <v>232</v>
      </c>
      <c r="E112" s="26" t="s">
        <v>14</v>
      </c>
      <c r="F112" s="14">
        <v>14225</v>
      </c>
      <c r="G112" s="14"/>
      <c r="H112" s="7">
        <f t="shared" si="3"/>
        <v>-14225</v>
      </c>
      <c r="I112" s="7"/>
      <c r="J112" s="1" t="b">
        <v>0</v>
      </c>
    </row>
    <row r="113" s="1" customFormat="1" ht="21.95" customHeight="1" spans="1:10">
      <c r="A113" s="15"/>
      <c r="B113" s="15"/>
      <c r="C113" s="7" t="s">
        <v>233</v>
      </c>
      <c r="D113" s="14" t="s">
        <v>232</v>
      </c>
      <c r="E113" s="26" t="s">
        <v>14</v>
      </c>
      <c r="F113" s="14">
        <v>14110</v>
      </c>
      <c r="G113" s="14"/>
      <c r="H113" s="7">
        <f t="shared" si="3"/>
        <v>-14110</v>
      </c>
      <c r="I113" s="7"/>
      <c r="J113" s="1" t="b">
        <v>0</v>
      </c>
    </row>
    <row r="114" s="1" customFormat="1" ht="21.95" customHeight="1" spans="1:10">
      <c r="A114" s="15"/>
      <c r="B114" s="15"/>
      <c r="C114" s="7" t="s">
        <v>130</v>
      </c>
      <c r="D114" s="14" t="s">
        <v>232</v>
      </c>
      <c r="E114" s="26"/>
      <c r="F114" s="14">
        <v>707</v>
      </c>
      <c r="G114" s="14"/>
      <c r="H114" s="7">
        <f t="shared" si="3"/>
        <v>-707</v>
      </c>
      <c r="I114" s="7"/>
      <c r="J114" s="1" t="b">
        <v>0</v>
      </c>
    </row>
    <row r="115" s="1" customFormat="1" ht="21.95" customHeight="1" spans="1:10">
      <c r="A115" s="15"/>
      <c r="B115" s="15"/>
      <c r="C115" s="7" t="s">
        <v>234</v>
      </c>
      <c r="D115" s="14" t="s">
        <v>148</v>
      </c>
      <c r="E115" s="26" t="s">
        <v>14</v>
      </c>
      <c r="F115" s="14">
        <v>35560</v>
      </c>
      <c r="G115" s="14"/>
      <c r="H115" s="7">
        <f t="shared" si="3"/>
        <v>-35560</v>
      </c>
      <c r="I115" s="43" t="s">
        <v>235</v>
      </c>
      <c r="J115" s="1" t="b">
        <v>0</v>
      </c>
    </row>
    <row r="116" s="1" customFormat="1" ht="21.95" customHeight="1" spans="1:10">
      <c r="A116" s="15"/>
      <c r="B116" s="15"/>
      <c r="C116" s="7" t="s">
        <v>236</v>
      </c>
      <c r="D116" s="14" t="s">
        <v>237</v>
      </c>
      <c r="E116" s="26"/>
      <c r="F116" s="14"/>
      <c r="G116" s="14"/>
      <c r="H116" s="7">
        <f t="shared" si="3"/>
        <v>0</v>
      </c>
      <c r="I116" s="43"/>
      <c r="J116" s="1" t="b">
        <v>0</v>
      </c>
    </row>
    <row r="117" s="1" customFormat="1" ht="21.95" customHeight="1" spans="1:10">
      <c r="A117" s="8"/>
      <c r="B117" s="8"/>
      <c r="C117" s="7" t="s">
        <v>238</v>
      </c>
      <c r="D117" s="14" t="s">
        <v>148</v>
      </c>
      <c r="E117" s="26" t="s">
        <v>14</v>
      </c>
      <c r="F117" s="14">
        <v>10367</v>
      </c>
      <c r="G117" s="14"/>
      <c r="H117" s="7">
        <f t="shared" si="3"/>
        <v>-10367</v>
      </c>
      <c r="I117" s="7" t="s">
        <v>239</v>
      </c>
      <c r="J117" s="1" t="b">
        <v>0</v>
      </c>
    </row>
    <row r="118" s="1" customFormat="1" ht="21.95" customHeight="1" spans="1:10">
      <c r="A118" s="7"/>
      <c r="B118" s="7"/>
      <c r="C118" s="7" t="s">
        <v>240</v>
      </c>
      <c r="D118" s="14" t="s">
        <v>241</v>
      </c>
      <c r="E118" s="9"/>
      <c r="F118" s="14"/>
      <c r="G118" s="14"/>
      <c r="H118" s="7">
        <f t="shared" si="3"/>
        <v>0</v>
      </c>
      <c r="I118" s="7"/>
      <c r="J118" s="1" t="b">
        <v>0</v>
      </c>
    </row>
    <row r="119" s="1" customFormat="1" ht="21.95" customHeight="1" spans="1:10">
      <c r="A119" s="10" t="s">
        <v>42</v>
      </c>
      <c r="B119" s="11"/>
      <c r="C119" s="11"/>
      <c r="D119" s="11"/>
      <c r="E119" s="11"/>
      <c r="F119" s="27"/>
      <c r="G119" s="27"/>
      <c r="H119" s="7"/>
      <c r="I119" s="48"/>
      <c r="J119" s="1" t="b">
        <v>1</v>
      </c>
    </row>
    <row r="120" s="1" customFormat="1" ht="21.95" customHeight="1" spans="1:10">
      <c r="A120" s="16"/>
      <c r="B120" s="12"/>
      <c r="C120" s="13"/>
      <c r="D120" s="13"/>
      <c r="E120" s="13"/>
      <c r="F120" s="28"/>
      <c r="G120" s="28"/>
      <c r="H120" s="7"/>
      <c r="I120" s="33"/>
      <c r="J120" s="1" t="b">
        <v>1</v>
      </c>
    </row>
    <row r="121" s="1" customFormat="1" ht="21.95" customHeight="1" spans="1:10">
      <c r="A121" s="7">
        <v>23</v>
      </c>
      <c r="B121" s="14" t="s">
        <v>242</v>
      </c>
      <c r="C121" s="7" t="s">
        <v>17</v>
      </c>
      <c r="D121" s="46" t="s">
        <v>243</v>
      </c>
      <c r="E121" s="26" t="s">
        <v>14</v>
      </c>
      <c r="F121" s="14">
        <v>268664</v>
      </c>
      <c r="G121" s="14"/>
      <c r="H121" s="7">
        <f t="shared" si="3"/>
        <v>-268664</v>
      </c>
      <c r="I121" s="7"/>
      <c r="J121" s="1" t="b">
        <v>0</v>
      </c>
    </row>
    <row r="122" s="1" customFormat="1" ht="21.95" customHeight="1" spans="1:10">
      <c r="A122" s="15"/>
      <c r="B122" s="15"/>
      <c r="C122" s="7" t="s">
        <v>244</v>
      </c>
      <c r="D122" s="15"/>
      <c r="E122" s="26" t="s">
        <v>14</v>
      </c>
      <c r="F122" s="14">
        <v>324994</v>
      </c>
      <c r="G122" s="14"/>
      <c r="H122" s="7">
        <f t="shared" si="3"/>
        <v>-324994</v>
      </c>
      <c r="I122" s="32"/>
      <c r="J122" s="1" t="b">
        <v>1</v>
      </c>
    </row>
    <row r="123" s="1" customFormat="1" ht="21.95" customHeight="1" spans="1:10">
      <c r="A123" s="15"/>
      <c r="B123" s="15"/>
      <c r="C123" s="7" t="s">
        <v>245</v>
      </c>
      <c r="D123" s="15"/>
      <c r="E123" s="26" t="s">
        <v>14</v>
      </c>
      <c r="F123" s="14">
        <v>304294</v>
      </c>
      <c r="G123" s="14"/>
      <c r="H123" s="7">
        <f t="shared" si="3"/>
        <v>-304294</v>
      </c>
      <c r="I123" s="7"/>
      <c r="J123" s="1" t="b">
        <v>1</v>
      </c>
    </row>
    <row r="124" s="1" customFormat="1" ht="21.95" customHeight="1" spans="1:10">
      <c r="A124" s="15"/>
      <c r="B124" s="15"/>
      <c r="C124" s="7" t="s">
        <v>246</v>
      </c>
      <c r="D124" s="15"/>
      <c r="E124" s="26" t="s">
        <v>14</v>
      </c>
      <c r="F124" s="14">
        <v>53175</v>
      </c>
      <c r="G124" s="14"/>
      <c r="H124" s="7">
        <f t="shared" si="3"/>
        <v>-53175</v>
      </c>
      <c r="I124" s="32"/>
      <c r="J124" s="1" t="b">
        <v>1</v>
      </c>
    </row>
    <row r="125" s="1" customFormat="1" ht="21.95" customHeight="1" spans="1:10">
      <c r="A125" s="15"/>
      <c r="B125" s="15"/>
      <c r="C125" s="7" t="s">
        <v>247</v>
      </c>
      <c r="D125" s="15"/>
      <c r="E125" s="26" t="s">
        <v>14</v>
      </c>
      <c r="F125" s="14">
        <v>692</v>
      </c>
      <c r="G125" s="14"/>
      <c r="H125" s="7">
        <f t="shared" si="3"/>
        <v>-692</v>
      </c>
      <c r="I125" s="32"/>
      <c r="J125" s="1" t="b">
        <v>1</v>
      </c>
    </row>
    <row r="126" s="1" customFormat="1" ht="21.95" customHeight="1" spans="1:10">
      <c r="A126" s="15"/>
      <c r="B126" s="15"/>
      <c r="C126" s="7" t="s">
        <v>248</v>
      </c>
      <c r="D126" s="15"/>
      <c r="E126" s="26" t="s">
        <v>14</v>
      </c>
      <c r="F126" s="14">
        <v>64671</v>
      </c>
      <c r="G126" s="14"/>
      <c r="H126" s="7">
        <f t="shared" si="3"/>
        <v>-64671</v>
      </c>
      <c r="I126" s="7"/>
      <c r="J126" s="1" t="b">
        <v>1</v>
      </c>
    </row>
    <row r="127" s="1" customFormat="1" ht="21.95" customHeight="1" spans="1:10">
      <c r="A127" s="15"/>
      <c r="B127" s="15"/>
      <c r="C127" s="7" t="s">
        <v>249</v>
      </c>
      <c r="D127" s="15"/>
      <c r="E127" s="26" t="s">
        <v>14</v>
      </c>
      <c r="F127" s="14">
        <v>99</v>
      </c>
      <c r="G127" s="14"/>
      <c r="H127" s="7">
        <f t="shared" si="3"/>
        <v>-99</v>
      </c>
      <c r="I127" s="32"/>
      <c r="J127" s="1" t="b">
        <v>1</v>
      </c>
    </row>
    <row r="128" s="1" customFormat="1" ht="21.95" customHeight="1" spans="1:10">
      <c r="A128" s="15"/>
      <c r="B128" s="15"/>
      <c r="C128" s="7" t="s">
        <v>250</v>
      </c>
      <c r="D128" s="15"/>
      <c r="E128" s="26" t="s">
        <v>14</v>
      </c>
      <c r="F128" s="14">
        <v>71453</v>
      </c>
      <c r="G128" s="14"/>
      <c r="H128" s="7">
        <f t="shared" si="3"/>
        <v>-71453</v>
      </c>
      <c r="I128" s="32"/>
      <c r="J128" s="1" t="b">
        <v>1</v>
      </c>
    </row>
    <row r="129" s="1" customFormat="1" ht="21.95" customHeight="1" spans="1:10">
      <c r="A129" s="15"/>
      <c r="B129" s="15"/>
      <c r="C129" s="7" t="s">
        <v>251</v>
      </c>
      <c r="D129" s="15"/>
      <c r="E129" s="26" t="s">
        <v>14</v>
      </c>
      <c r="F129" s="14">
        <v>17</v>
      </c>
      <c r="G129" s="14"/>
      <c r="H129" s="7">
        <f t="shared" si="3"/>
        <v>-17</v>
      </c>
      <c r="I129" s="7"/>
      <c r="J129" s="1" t="b">
        <v>1</v>
      </c>
    </row>
    <row r="130" s="1" customFormat="1" ht="21.95" customHeight="1" spans="1:10">
      <c r="A130" s="15"/>
      <c r="B130" s="15"/>
      <c r="C130" s="7" t="s">
        <v>252</v>
      </c>
      <c r="D130" s="15"/>
      <c r="E130" s="26" t="s">
        <v>14</v>
      </c>
      <c r="F130" s="14">
        <v>67201</v>
      </c>
      <c r="G130" s="14"/>
      <c r="H130" s="7">
        <f t="shared" si="3"/>
        <v>-67201</v>
      </c>
      <c r="I130" s="32"/>
      <c r="J130" s="1" t="b">
        <v>1</v>
      </c>
    </row>
    <row r="131" s="1" customFormat="1" ht="21.95" customHeight="1" spans="1:10">
      <c r="A131" s="15"/>
      <c r="B131" s="15"/>
      <c r="C131" s="7" t="s">
        <v>253</v>
      </c>
      <c r="D131" s="8"/>
      <c r="E131" s="26" t="s">
        <v>14</v>
      </c>
      <c r="F131" s="14">
        <v>86729</v>
      </c>
      <c r="G131" s="14"/>
      <c r="H131" s="7">
        <f t="shared" si="3"/>
        <v>-86729</v>
      </c>
      <c r="I131" s="7"/>
      <c r="J131" s="1" t="b">
        <v>1</v>
      </c>
    </row>
    <row r="132" s="1" customFormat="1" ht="21.95" customHeight="1" spans="1:10">
      <c r="A132" s="15"/>
      <c r="B132" s="15"/>
      <c r="C132" s="7" t="s">
        <v>254</v>
      </c>
      <c r="D132" s="46" t="s">
        <v>255</v>
      </c>
      <c r="E132" s="26" t="s">
        <v>14</v>
      </c>
      <c r="F132" s="14">
        <v>68913</v>
      </c>
      <c r="G132" s="14"/>
      <c r="H132" s="7">
        <f t="shared" si="3"/>
        <v>-68913</v>
      </c>
      <c r="I132" s="32"/>
      <c r="J132" s="1" t="b">
        <v>0</v>
      </c>
    </row>
    <row r="133" s="1" customFormat="1" ht="21.95" customHeight="1" spans="1:10">
      <c r="A133" s="15"/>
      <c r="B133" s="15"/>
      <c r="C133" s="7" t="s">
        <v>256</v>
      </c>
      <c r="D133" s="15"/>
      <c r="E133" s="26" t="s">
        <v>14</v>
      </c>
      <c r="F133" s="14">
        <v>774</v>
      </c>
      <c r="G133" s="14"/>
      <c r="H133" s="7">
        <f t="shared" si="3"/>
        <v>-774</v>
      </c>
      <c r="I133" s="32"/>
      <c r="J133" s="1" t="b">
        <v>1</v>
      </c>
    </row>
    <row r="134" s="1" customFormat="1" ht="21.95" customHeight="1" spans="1:10">
      <c r="A134" s="15"/>
      <c r="B134" s="15"/>
      <c r="C134" s="7" t="s">
        <v>257</v>
      </c>
      <c r="D134" s="15"/>
      <c r="E134" s="26" t="s">
        <v>14</v>
      </c>
      <c r="F134" s="14">
        <v>3311</v>
      </c>
      <c r="G134" s="14"/>
      <c r="H134" s="7">
        <f t="shared" ref="H134:H161" si="4">G134-F134</f>
        <v>-3311</v>
      </c>
      <c r="I134" s="7"/>
      <c r="J134" s="1" t="b">
        <v>1</v>
      </c>
    </row>
    <row r="135" s="1" customFormat="1" ht="21.95" customHeight="1" spans="1:10">
      <c r="A135" s="15"/>
      <c r="B135" s="15"/>
      <c r="C135" s="7" t="s">
        <v>258</v>
      </c>
      <c r="D135" s="15"/>
      <c r="E135" s="26" t="s">
        <v>14</v>
      </c>
      <c r="F135" s="14">
        <v>53823</v>
      </c>
      <c r="G135" s="14"/>
      <c r="H135" s="7">
        <f t="shared" si="4"/>
        <v>-53823</v>
      </c>
      <c r="I135" s="32"/>
      <c r="J135" s="1" t="b">
        <v>1</v>
      </c>
    </row>
    <row r="136" s="1" customFormat="1" ht="21.95" customHeight="1" spans="1:10">
      <c r="A136" s="15"/>
      <c r="B136" s="15"/>
      <c r="C136" s="7" t="s">
        <v>259</v>
      </c>
      <c r="D136" s="15"/>
      <c r="E136" s="26" t="s">
        <v>14</v>
      </c>
      <c r="F136" s="14">
        <v>1143</v>
      </c>
      <c r="G136" s="14"/>
      <c r="H136" s="7">
        <f t="shared" si="4"/>
        <v>-1143</v>
      </c>
      <c r="I136" s="32"/>
      <c r="J136" s="1" t="b">
        <v>1</v>
      </c>
    </row>
    <row r="137" s="1" customFormat="1" ht="21.95" customHeight="1" spans="1:10">
      <c r="A137" s="15"/>
      <c r="B137" s="15"/>
      <c r="C137" s="7" t="s">
        <v>260</v>
      </c>
      <c r="D137" s="15"/>
      <c r="E137" s="30">
        <v>20</v>
      </c>
      <c r="F137" s="14">
        <v>1555</v>
      </c>
      <c r="G137" s="14"/>
      <c r="H137" s="7">
        <f t="shared" si="4"/>
        <v>-1555</v>
      </c>
      <c r="I137" s="7"/>
      <c r="J137" s="1" t="b">
        <v>1</v>
      </c>
    </row>
    <row r="138" s="1" customFormat="1" ht="21.95" customHeight="1" spans="1:10">
      <c r="A138" s="15"/>
      <c r="B138" s="15"/>
      <c r="C138" s="7" t="s">
        <v>261</v>
      </c>
      <c r="D138" s="15"/>
      <c r="E138" s="26" t="s">
        <v>14</v>
      </c>
      <c r="F138" s="14">
        <v>16115</v>
      </c>
      <c r="G138" s="14"/>
      <c r="H138" s="7">
        <f t="shared" si="4"/>
        <v>-16115</v>
      </c>
      <c r="I138" s="32"/>
      <c r="J138" s="1" t="b">
        <v>1</v>
      </c>
    </row>
    <row r="139" s="1" customFormat="1" ht="21.95" customHeight="1" spans="1:10">
      <c r="A139" s="15"/>
      <c r="B139" s="15"/>
      <c r="C139" s="7" t="s">
        <v>262</v>
      </c>
      <c r="D139" s="15"/>
      <c r="E139" s="26" t="s">
        <v>14</v>
      </c>
      <c r="F139" s="14">
        <v>7</v>
      </c>
      <c r="G139" s="14"/>
      <c r="H139" s="7">
        <f t="shared" si="4"/>
        <v>-7</v>
      </c>
      <c r="I139" s="7"/>
      <c r="J139" s="1" t="b">
        <v>1</v>
      </c>
    </row>
    <row r="140" s="1" customFormat="1" ht="21.95" customHeight="1" spans="1:10">
      <c r="A140" s="15"/>
      <c r="B140" s="15"/>
      <c r="C140" s="7" t="s">
        <v>263</v>
      </c>
      <c r="D140" s="15"/>
      <c r="E140" s="26" t="s">
        <v>14</v>
      </c>
      <c r="F140" s="14">
        <v>6117</v>
      </c>
      <c r="G140" s="14"/>
      <c r="H140" s="7">
        <f t="shared" si="4"/>
        <v>-6117</v>
      </c>
      <c r="I140" s="32"/>
      <c r="J140" s="1" t="b">
        <v>1</v>
      </c>
    </row>
    <row r="141" s="1" customFormat="1" ht="21.95" customHeight="1" spans="1:10">
      <c r="A141" s="15"/>
      <c r="B141" s="15"/>
      <c r="C141" s="7" t="s">
        <v>264</v>
      </c>
      <c r="D141" s="15"/>
      <c r="E141" s="26" t="s">
        <v>14</v>
      </c>
      <c r="F141" s="14">
        <v>7</v>
      </c>
      <c r="G141" s="14"/>
      <c r="H141" s="7">
        <f t="shared" si="4"/>
        <v>-7</v>
      </c>
      <c r="I141" s="32"/>
      <c r="J141" s="1" t="b">
        <v>1</v>
      </c>
    </row>
    <row r="142" s="1" customFormat="1" ht="21.95" customHeight="1" spans="1:10">
      <c r="A142" s="15"/>
      <c r="B142" s="15"/>
      <c r="C142" s="7" t="s">
        <v>265</v>
      </c>
      <c r="D142" s="15"/>
      <c r="E142" s="26" t="s">
        <v>14</v>
      </c>
      <c r="F142" s="14">
        <v>1</v>
      </c>
      <c r="G142" s="14"/>
      <c r="H142" s="7">
        <f t="shared" si="4"/>
        <v>-1</v>
      </c>
      <c r="I142" s="32"/>
      <c r="J142" s="1" t="b">
        <v>1</v>
      </c>
    </row>
    <row r="143" s="1" customFormat="1" ht="21.95" customHeight="1" spans="1:10">
      <c r="A143" s="15"/>
      <c r="B143" s="15"/>
      <c r="C143" s="7" t="s">
        <v>266</v>
      </c>
      <c r="D143" s="8"/>
      <c r="E143" s="26" t="s">
        <v>14</v>
      </c>
      <c r="F143" s="14">
        <v>17500</v>
      </c>
      <c r="G143" s="14"/>
      <c r="H143" s="7">
        <f t="shared" si="4"/>
        <v>-17500</v>
      </c>
      <c r="I143" s="32"/>
      <c r="J143" s="1" t="b">
        <v>1</v>
      </c>
    </row>
    <row r="144" s="1" customFormat="1" ht="21.95" customHeight="1" spans="1:10">
      <c r="A144" s="15"/>
      <c r="B144" s="15"/>
      <c r="C144" s="7" t="s">
        <v>267</v>
      </c>
      <c r="D144" s="46" t="s">
        <v>268</v>
      </c>
      <c r="E144" s="26" t="s">
        <v>14</v>
      </c>
      <c r="F144" s="14">
        <v>1089</v>
      </c>
      <c r="G144" s="14"/>
      <c r="H144" s="7">
        <f t="shared" si="4"/>
        <v>-1089</v>
      </c>
      <c r="I144" s="7"/>
      <c r="J144" s="1" t="b">
        <v>0</v>
      </c>
    </row>
    <row r="145" s="1" customFormat="1" ht="21.95" customHeight="1" spans="1:10">
      <c r="A145" s="15"/>
      <c r="B145" s="15"/>
      <c r="C145" s="7" t="s">
        <v>269</v>
      </c>
      <c r="D145" s="15"/>
      <c r="E145" s="26" t="s">
        <v>14</v>
      </c>
      <c r="F145" s="14">
        <v>0.4</v>
      </c>
      <c r="G145" s="14"/>
      <c r="H145" s="7">
        <f t="shared" si="4"/>
        <v>-0.4</v>
      </c>
      <c r="I145" s="7"/>
      <c r="J145" s="1" t="b">
        <v>1</v>
      </c>
    </row>
    <row r="146" s="1" customFormat="1" ht="21.95" customHeight="1" spans="1:10">
      <c r="A146" s="15"/>
      <c r="B146" s="15"/>
      <c r="C146" s="7" t="s">
        <v>270</v>
      </c>
      <c r="D146" s="15"/>
      <c r="E146" s="26" t="s">
        <v>14</v>
      </c>
      <c r="F146" s="14">
        <v>81745</v>
      </c>
      <c r="G146" s="14"/>
      <c r="H146" s="7">
        <f t="shared" si="4"/>
        <v>-81745</v>
      </c>
      <c r="I146" s="7"/>
      <c r="J146" s="1" t="b">
        <v>1</v>
      </c>
    </row>
    <row r="147" s="1" customFormat="1" ht="21.95" customHeight="1" spans="1:10">
      <c r="A147" s="15"/>
      <c r="B147" s="15"/>
      <c r="C147" s="7" t="s">
        <v>271</v>
      </c>
      <c r="D147" s="15"/>
      <c r="E147" s="26" t="s">
        <v>14</v>
      </c>
      <c r="F147" s="14">
        <v>17137</v>
      </c>
      <c r="G147" s="14"/>
      <c r="H147" s="7">
        <f t="shared" si="4"/>
        <v>-17137</v>
      </c>
      <c r="I147" s="7"/>
      <c r="J147" s="1" t="b">
        <v>1</v>
      </c>
    </row>
    <row r="148" s="1" customFormat="1" ht="21.95" customHeight="1" spans="1:10">
      <c r="A148" s="15"/>
      <c r="B148" s="15"/>
      <c r="C148" s="7" t="s">
        <v>272</v>
      </c>
      <c r="D148" s="8"/>
      <c r="E148" s="26" t="s">
        <v>14</v>
      </c>
      <c r="F148" s="14">
        <v>57650</v>
      </c>
      <c r="G148" s="14"/>
      <c r="H148" s="7">
        <f t="shared" si="4"/>
        <v>-57650</v>
      </c>
      <c r="I148" s="32"/>
      <c r="J148" s="1" t="b">
        <v>1</v>
      </c>
    </row>
    <row r="149" s="1" customFormat="1" ht="21.95" customHeight="1" spans="1:10">
      <c r="A149" s="15"/>
      <c r="B149" s="15"/>
      <c r="C149" s="7" t="s">
        <v>273</v>
      </c>
      <c r="D149" s="9" t="s">
        <v>274</v>
      </c>
      <c r="E149" s="9" t="s">
        <v>275</v>
      </c>
      <c r="F149" s="14">
        <v>2142</v>
      </c>
      <c r="G149" s="14"/>
      <c r="H149" s="7">
        <f t="shared" si="4"/>
        <v>-2142</v>
      </c>
      <c r="I149" s="7"/>
      <c r="J149" s="1" t="b">
        <v>0</v>
      </c>
    </row>
    <row r="150" s="1" customFormat="1" ht="21.95" customHeight="1" spans="1:10">
      <c r="A150" s="15"/>
      <c r="B150" s="15"/>
      <c r="C150" s="7" t="s">
        <v>276</v>
      </c>
      <c r="D150" s="49" t="s">
        <v>277</v>
      </c>
      <c r="E150" s="26" t="s">
        <v>14</v>
      </c>
      <c r="F150" s="14">
        <v>12564</v>
      </c>
      <c r="G150" s="14"/>
      <c r="H150" s="7">
        <f t="shared" si="4"/>
        <v>-12564</v>
      </c>
      <c r="I150" s="32"/>
      <c r="J150" s="1" t="b">
        <v>0</v>
      </c>
    </row>
    <row r="151" s="1" customFormat="1" ht="21.95" customHeight="1" spans="1:10">
      <c r="A151" s="15"/>
      <c r="B151" s="15"/>
      <c r="C151" s="7" t="s">
        <v>278</v>
      </c>
      <c r="D151" s="15"/>
      <c r="E151" s="9" t="s">
        <v>279</v>
      </c>
      <c r="F151" s="14">
        <v>4101</v>
      </c>
      <c r="G151" s="14"/>
      <c r="H151" s="7">
        <f t="shared" si="4"/>
        <v>-4101</v>
      </c>
      <c r="I151" s="7"/>
      <c r="J151" s="1" t="b">
        <v>1</v>
      </c>
    </row>
    <row r="152" s="1" customFormat="1" ht="21.95" customHeight="1" spans="1:10">
      <c r="A152" s="15"/>
      <c r="B152" s="15"/>
      <c r="C152" s="7" t="s">
        <v>280</v>
      </c>
      <c r="D152" s="15"/>
      <c r="E152" s="26" t="s">
        <v>14</v>
      </c>
      <c r="F152" s="14">
        <v>3987</v>
      </c>
      <c r="G152" s="14"/>
      <c r="H152" s="7">
        <f t="shared" si="4"/>
        <v>-3987</v>
      </c>
      <c r="I152" s="32"/>
      <c r="J152" s="1" t="b">
        <v>1</v>
      </c>
    </row>
    <row r="153" s="1" customFormat="1" ht="21.95" customHeight="1" spans="1:10">
      <c r="A153" s="15"/>
      <c r="B153" s="15"/>
      <c r="C153" s="7" t="s">
        <v>281</v>
      </c>
      <c r="D153" s="15"/>
      <c r="E153" s="26" t="s">
        <v>14</v>
      </c>
      <c r="F153" s="14">
        <v>760</v>
      </c>
      <c r="G153" s="14"/>
      <c r="H153" s="7">
        <f t="shared" si="4"/>
        <v>-760</v>
      </c>
      <c r="I153" s="7"/>
      <c r="J153" s="1" t="b">
        <v>1</v>
      </c>
    </row>
    <row r="154" s="1" customFormat="1" ht="21.95" customHeight="1" spans="1:10">
      <c r="A154" s="15"/>
      <c r="B154" s="15"/>
      <c r="C154" s="7" t="s">
        <v>282</v>
      </c>
      <c r="D154" s="15"/>
      <c r="E154" s="26" t="s">
        <v>14</v>
      </c>
      <c r="F154" s="30">
        <v>158657</v>
      </c>
      <c r="G154" s="30"/>
      <c r="H154" s="7">
        <f t="shared" si="4"/>
        <v>-158657</v>
      </c>
      <c r="I154" s="32"/>
      <c r="J154" s="1" t="b">
        <v>1</v>
      </c>
    </row>
    <row r="155" s="1" customFormat="1" ht="21.95" customHeight="1" spans="1:10">
      <c r="A155" s="15"/>
      <c r="B155" s="15"/>
      <c r="C155" s="7" t="s">
        <v>283</v>
      </c>
      <c r="D155" s="15"/>
      <c r="E155" s="26" t="s">
        <v>14</v>
      </c>
      <c r="F155" s="14">
        <v>0.2</v>
      </c>
      <c r="G155" s="14"/>
      <c r="H155" s="7">
        <f t="shared" si="4"/>
        <v>-0.2</v>
      </c>
      <c r="I155" s="7"/>
      <c r="J155" s="1" t="b">
        <v>1</v>
      </c>
    </row>
    <row r="156" s="1" customFormat="1" ht="21.95" customHeight="1" spans="1:10">
      <c r="A156" s="15"/>
      <c r="B156" s="15"/>
      <c r="C156" s="7" t="s">
        <v>284</v>
      </c>
      <c r="D156" s="8"/>
      <c r="E156" s="26" t="s">
        <v>14</v>
      </c>
      <c r="F156" s="14">
        <v>2470</v>
      </c>
      <c r="G156" s="14"/>
      <c r="H156" s="7">
        <f t="shared" si="4"/>
        <v>-2470</v>
      </c>
      <c r="I156" s="7"/>
      <c r="J156" s="1" t="b">
        <v>1</v>
      </c>
    </row>
    <row r="157" s="1" customFormat="1" ht="21.95" customHeight="1" spans="1:10">
      <c r="A157" s="15"/>
      <c r="B157" s="15"/>
      <c r="C157" s="7" t="s">
        <v>285</v>
      </c>
      <c r="D157" s="14" t="s">
        <v>286</v>
      </c>
      <c r="E157" s="26" t="s">
        <v>14</v>
      </c>
      <c r="F157" s="14">
        <v>164574</v>
      </c>
      <c r="G157" s="14"/>
      <c r="H157" s="7">
        <f t="shared" si="4"/>
        <v>-164574</v>
      </c>
      <c r="I157" s="7"/>
      <c r="J157" s="1" t="b">
        <v>0</v>
      </c>
    </row>
    <row r="158" s="1" customFormat="1" ht="21.95" customHeight="1" spans="1:10">
      <c r="A158" s="15"/>
      <c r="B158" s="15"/>
      <c r="C158" s="7" t="s">
        <v>287</v>
      </c>
      <c r="D158" s="15"/>
      <c r="E158" s="26" t="s">
        <v>14</v>
      </c>
      <c r="F158" s="14">
        <v>2591</v>
      </c>
      <c r="G158" s="14"/>
      <c r="H158" s="7">
        <f t="shared" si="4"/>
        <v>-2591</v>
      </c>
      <c r="I158" s="7"/>
      <c r="J158" s="1" t="b">
        <v>1</v>
      </c>
    </row>
    <row r="159" s="1" customFormat="1" ht="21.95" customHeight="1" spans="1:10">
      <c r="A159" s="8"/>
      <c r="B159" s="8"/>
      <c r="C159" s="7" t="s">
        <v>288</v>
      </c>
      <c r="D159" s="8"/>
      <c r="E159" s="26" t="s">
        <v>14</v>
      </c>
      <c r="F159" s="14">
        <v>375</v>
      </c>
      <c r="G159" s="14"/>
      <c r="H159" s="7">
        <f t="shared" si="4"/>
        <v>-375</v>
      </c>
      <c r="I159" s="14"/>
      <c r="J159" s="1" t="b">
        <v>1</v>
      </c>
    </row>
    <row r="160" s="1" customFormat="1" ht="21.95" customHeight="1" spans="1:10">
      <c r="A160" s="10" t="s">
        <v>42</v>
      </c>
      <c r="B160" s="11"/>
      <c r="C160" s="11"/>
      <c r="D160" s="11"/>
      <c r="E160" s="11"/>
      <c r="F160" s="27"/>
      <c r="G160" s="27"/>
      <c r="H160" s="7"/>
      <c r="I160" s="32"/>
      <c r="J160" s="1" t="b">
        <v>1</v>
      </c>
    </row>
    <row r="161" s="1" customFormat="1" ht="21.95" customHeight="1" spans="1:10">
      <c r="A161" s="29"/>
      <c r="B161" s="29"/>
      <c r="C161" s="28"/>
      <c r="D161" s="28"/>
      <c r="E161" s="28"/>
      <c r="F161" s="28"/>
      <c r="G161" s="28"/>
      <c r="H161" s="7"/>
      <c r="I161" s="33"/>
      <c r="J161" s="1" t="b">
        <v>1</v>
      </c>
    </row>
    <row r="162" s="1" customFormat="1" ht="21.95" customHeight="1" spans="1:10">
      <c r="A162" s="50" t="s">
        <v>289</v>
      </c>
      <c r="B162" s="51"/>
      <c r="C162" s="51"/>
      <c r="D162" s="51"/>
      <c r="E162" s="51"/>
      <c r="F162" s="51"/>
      <c r="G162" s="51"/>
      <c r="H162" s="7"/>
      <c r="I162" s="54"/>
      <c r="J162" s="1" t="b">
        <v>1</v>
      </c>
    </row>
    <row r="163" s="1" customFormat="1" ht="46" customHeight="1" spans="1:10">
      <c r="A163" s="7"/>
      <c r="B163" s="44" t="s">
        <v>290</v>
      </c>
      <c r="C163" s="7" t="s">
        <v>291</v>
      </c>
      <c r="D163" s="7" t="s">
        <v>292</v>
      </c>
      <c r="E163" s="26" t="s">
        <v>14</v>
      </c>
      <c r="F163" s="14">
        <v>8771</v>
      </c>
      <c r="G163" s="14"/>
      <c r="H163" s="7">
        <f t="shared" ref="H163:H179" si="5">G163-F163</f>
        <v>-8771</v>
      </c>
      <c r="I163" s="7"/>
      <c r="J163" s="1" t="b">
        <v>0</v>
      </c>
    </row>
    <row r="164" s="1" customFormat="1" ht="31" customHeight="1" spans="1:10">
      <c r="A164" s="7"/>
      <c r="B164" s="44" t="s">
        <v>293</v>
      </c>
      <c r="C164" s="7" t="s">
        <v>294</v>
      </c>
      <c r="D164" s="7" t="s">
        <v>295</v>
      </c>
      <c r="E164" s="26" t="s">
        <v>14</v>
      </c>
      <c r="F164" s="14">
        <v>29215</v>
      </c>
      <c r="G164" s="14"/>
      <c r="H164" s="7">
        <f t="shared" si="5"/>
        <v>-29215</v>
      </c>
      <c r="I164" s="32"/>
      <c r="J164" s="1" t="b">
        <v>0</v>
      </c>
    </row>
    <row r="165" s="1" customFormat="1" ht="23.1" customHeight="1" spans="1:10">
      <c r="A165" s="7"/>
      <c r="B165" s="44" t="s">
        <v>296</v>
      </c>
      <c r="C165" s="7" t="s">
        <v>291</v>
      </c>
      <c r="D165" s="14" t="s">
        <v>297</v>
      </c>
      <c r="E165" s="26" t="s">
        <v>14</v>
      </c>
      <c r="F165" s="14">
        <v>1006</v>
      </c>
      <c r="G165" s="14"/>
      <c r="H165" s="7">
        <f t="shared" si="5"/>
        <v>-1006</v>
      </c>
      <c r="I165" s="7"/>
      <c r="J165" s="1" t="b">
        <v>0</v>
      </c>
    </row>
    <row r="166" s="1" customFormat="1" ht="23.1" customHeight="1" spans="1:10">
      <c r="A166" s="15"/>
      <c r="B166" s="44" t="s">
        <v>298</v>
      </c>
      <c r="C166" s="7" t="s">
        <v>294</v>
      </c>
      <c r="D166" s="14"/>
      <c r="E166" s="26" t="s">
        <v>14</v>
      </c>
      <c r="F166" s="14">
        <v>4774</v>
      </c>
      <c r="G166" s="14"/>
      <c r="H166" s="7">
        <f t="shared" si="5"/>
        <v>-4774</v>
      </c>
      <c r="I166" s="7" t="s">
        <v>299</v>
      </c>
      <c r="J166" s="1" t="b">
        <v>1</v>
      </c>
    </row>
    <row r="167" s="1" customFormat="1" ht="23.1" customHeight="1" spans="1:10">
      <c r="A167" s="15"/>
      <c r="B167" s="7" t="s">
        <v>300</v>
      </c>
      <c r="C167" s="7" t="s">
        <v>294</v>
      </c>
      <c r="D167" s="7" t="s">
        <v>301</v>
      </c>
      <c r="E167" s="26" t="s">
        <v>14</v>
      </c>
      <c r="F167" s="14">
        <v>27108</v>
      </c>
      <c r="G167" s="14"/>
      <c r="H167" s="7">
        <f t="shared" si="5"/>
        <v>-27108</v>
      </c>
      <c r="I167" s="32"/>
      <c r="J167" s="1" t="b">
        <v>0</v>
      </c>
    </row>
    <row r="168" s="1" customFormat="1" ht="21.95" customHeight="1" spans="1:10">
      <c r="A168" s="8"/>
      <c r="B168" s="8"/>
      <c r="C168" s="7" t="s">
        <v>294</v>
      </c>
      <c r="D168" s="7" t="s">
        <v>302</v>
      </c>
      <c r="E168" s="26" t="s">
        <v>14</v>
      </c>
      <c r="F168" s="14">
        <v>3110</v>
      </c>
      <c r="G168" s="14"/>
      <c r="H168" s="7">
        <f t="shared" si="5"/>
        <v>-3110</v>
      </c>
      <c r="I168" s="32"/>
      <c r="J168" s="1" t="b">
        <v>0</v>
      </c>
    </row>
    <row r="169" s="1" customFormat="1" ht="21.95" customHeight="1" spans="1:10">
      <c r="A169" s="17"/>
      <c r="B169" s="17"/>
      <c r="C169" s="17"/>
      <c r="D169" s="18"/>
      <c r="E169" s="18"/>
      <c r="F169" s="18"/>
      <c r="G169" s="18"/>
      <c r="H169" s="7"/>
      <c r="I169" s="17"/>
      <c r="J169" s="1" t="b">
        <v>1</v>
      </c>
    </row>
    <row r="170" s="1" customFormat="1" ht="21.95" customHeight="1" spans="1:10">
      <c r="A170" s="7" t="s">
        <v>303</v>
      </c>
      <c r="B170" s="7" t="s">
        <v>304</v>
      </c>
      <c r="C170" s="7" t="s">
        <v>38</v>
      </c>
      <c r="D170" s="7" t="s">
        <v>305</v>
      </c>
      <c r="E170" s="30">
        <v>50</v>
      </c>
      <c r="F170" s="14">
        <v>2715</v>
      </c>
      <c r="G170" s="14"/>
      <c r="H170" s="7">
        <f t="shared" si="5"/>
        <v>-2715</v>
      </c>
      <c r="I170" s="7"/>
      <c r="J170" s="1" t="b">
        <v>0</v>
      </c>
    </row>
    <row r="171" s="1" customFormat="1" ht="21.95" customHeight="1" spans="1:10">
      <c r="A171" s="15"/>
      <c r="B171" s="44" t="s">
        <v>306</v>
      </c>
      <c r="C171" s="7" t="s">
        <v>26</v>
      </c>
      <c r="D171" s="7" t="s">
        <v>307</v>
      </c>
      <c r="E171" s="26" t="s">
        <v>14</v>
      </c>
      <c r="F171" s="14">
        <v>963</v>
      </c>
      <c r="G171" s="14"/>
      <c r="H171" s="7">
        <f t="shared" si="5"/>
        <v>-963</v>
      </c>
      <c r="I171" s="32"/>
      <c r="J171" s="1" t="b">
        <v>0</v>
      </c>
    </row>
    <row r="172" s="1" customFormat="1" ht="21.95" customHeight="1" spans="1:10">
      <c r="A172" s="8"/>
      <c r="B172" s="7" t="s">
        <v>308</v>
      </c>
      <c r="C172" s="7" t="s">
        <v>38</v>
      </c>
      <c r="D172" s="7" t="s">
        <v>309</v>
      </c>
      <c r="E172" s="26" t="s">
        <v>14</v>
      </c>
      <c r="F172" s="14">
        <v>24551</v>
      </c>
      <c r="G172" s="14"/>
      <c r="H172" s="7">
        <f t="shared" si="5"/>
        <v>-24551</v>
      </c>
      <c r="I172" s="32"/>
      <c r="J172" s="1" t="b">
        <v>0</v>
      </c>
    </row>
    <row r="173" s="1" customFormat="1" ht="21.95" customHeight="1" spans="1:10">
      <c r="A173" s="17"/>
      <c r="B173" s="17"/>
      <c r="C173" s="17"/>
      <c r="D173" s="18"/>
      <c r="E173" s="18"/>
      <c r="F173" s="18"/>
      <c r="G173" s="18"/>
      <c r="H173" s="7"/>
      <c r="I173" s="17"/>
      <c r="J173" s="1" t="b">
        <v>1</v>
      </c>
    </row>
    <row r="174" s="1" customFormat="1" ht="21.95" customHeight="1" spans="1:10">
      <c r="A174" s="39" t="s">
        <v>310</v>
      </c>
      <c r="B174" s="7" t="s">
        <v>311</v>
      </c>
      <c r="C174" s="7" t="s">
        <v>312</v>
      </c>
      <c r="D174" s="14" t="s">
        <v>313</v>
      </c>
      <c r="E174" s="26" t="s">
        <v>14</v>
      </c>
      <c r="F174" s="14">
        <v>59030</v>
      </c>
      <c r="G174" s="14"/>
      <c r="H174" s="7">
        <f t="shared" si="5"/>
        <v>-59030</v>
      </c>
      <c r="I174" s="32"/>
      <c r="J174" s="1" t="b">
        <v>0</v>
      </c>
    </row>
    <row r="175" s="1" customFormat="1" ht="21.95" customHeight="1" spans="1:10">
      <c r="A175" s="15"/>
      <c r="B175" s="7" t="s">
        <v>314</v>
      </c>
      <c r="C175" s="7" t="s">
        <v>312</v>
      </c>
      <c r="D175" s="14" t="s">
        <v>315</v>
      </c>
      <c r="E175" s="26" t="s">
        <v>14</v>
      </c>
      <c r="F175" s="14">
        <v>15329</v>
      </c>
      <c r="G175" s="14"/>
      <c r="H175" s="7">
        <f t="shared" si="5"/>
        <v>-15329</v>
      </c>
      <c r="I175" s="32"/>
      <c r="J175" s="1" t="b">
        <v>0</v>
      </c>
    </row>
    <row r="176" s="1" customFormat="1" ht="21.95" customHeight="1" spans="1:10">
      <c r="A176" s="15"/>
      <c r="B176" s="8"/>
      <c r="C176" s="7" t="s">
        <v>312</v>
      </c>
      <c r="D176" s="14" t="s">
        <v>316</v>
      </c>
      <c r="E176" s="26" t="s">
        <v>14</v>
      </c>
      <c r="F176" s="14">
        <v>2393</v>
      </c>
      <c r="G176" s="14"/>
      <c r="H176" s="7">
        <f t="shared" si="5"/>
        <v>-2393</v>
      </c>
      <c r="I176" s="32"/>
      <c r="J176" s="1" t="b">
        <v>0</v>
      </c>
    </row>
    <row r="177" s="1" customFormat="1" ht="21.95" customHeight="1" spans="1:10">
      <c r="A177" s="15"/>
      <c r="B177" s="7" t="s">
        <v>317</v>
      </c>
      <c r="C177" s="7" t="s">
        <v>312</v>
      </c>
      <c r="D177" s="14" t="s">
        <v>318</v>
      </c>
      <c r="E177" s="26" t="s">
        <v>14</v>
      </c>
      <c r="F177" s="14">
        <v>14904</v>
      </c>
      <c r="G177" s="14"/>
      <c r="H177" s="7">
        <f t="shared" si="5"/>
        <v>-14904</v>
      </c>
      <c r="I177" s="32"/>
      <c r="J177" s="1" t="b">
        <v>0</v>
      </c>
    </row>
    <row r="178" s="1" customFormat="1" ht="21.95" customHeight="1" spans="1:10">
      <c r="A178" s="15"/>
      <c r="B178" s="7" t="s">
        <v>319</v>
      </c>
      <c r="C178" s="7" t="s">
        <v>312</v>
      </c>
      <c r="D178" s="14" t="s">
        <v>320</v>
      </c>
      <c r="E178" s="26" t="s">
        <v>14</v>
      </c>
      <c r="F178" s="14">
        <v>2555</v>
      </c>
      <c r="G178" s="14"/>
      <c r="H178" s="7">
        <f t="shared" si="5"/>
        <v>-2555</v>
      </c>
      <c r="I178" s="32"/>
      <c r="J178" s="1" t="b">
        <v>0</v>
      </c>
    </row>
    <row r="179" s="1" customFormat="1" ht="21.95" customHeight="1" spans="1:17">
      <c r="A179" s="15"/>
      <c r="B179" s="7" t="s">
        <v>321</v>
      </c>
      <c r="C179" s="7" t="s">
        <v>312</v>
      </c>
      <c r="D179" s="14" t="s">
        <v>322</v>
      </c>
      <c r="E179" s="26" t="s">
        <v>14</v>
      </c>
      <c r="F179" s="14">
        <v>2466</v>
      </c>
      <c r="G179" s="14"/>
      <c r="H179" s="7">
        <f t="shared" si="5"/>
        <v>-2466</v>
      </c>
      <c r="I179" s="14"/>
      <c r="J179" s="1" t="b">
        <v>0</v>
      </c>
      <c r="Q179" s="55"/>
    </row>
    <row r="180" s="1" customFormat="1" ht="21.95" customHeight="1" spans="1:17">
      <c r="A180" s="15"/>
      <c r="B180" s="8"/>
      <c r="C180" s="7" t="s">
        <v>312</v>
      </c>
      <c r="D180" s="14" t="s">
        <v>323</v>
      </c>
      <c r="E180" s="26" t="s">
        <v>14</v>
      </c>
      <c r="F180" s="14">
        <v>294</v>
      </c>
      <c r="G180" s="14"/>
      <c r="H180" s="7"/>
      <c r="I180" s="8"/>
      <c r="J180" s="1" t="b">
        <v>0</v>
      </c>
      <c r="Q180" s="55"/>
    </row>
    <row r="181" s="1" customFormat="1" ht="21.95" customHeight="1" spans="1:10">
      <c r="A181" s="15"/>
      <c r="B181" s="7" t="s">
        <v>324</v>
      </c>
      <c r="C181" s="7" t="s">
        <v>325</v>
      </c>
      <c r="D181" s="14" t="s">
        <v>326</v>
      </c>
      <c r="E181" s="26" t="s">
        <v>14</v>
      </c>
      <c r="F181" s="14">
        <v>11805</v>
      </c>
      <c r="G181" s="52"/>
      <c r="H181" s="7">
        <f>G181-F181</f>
        <v>-11805</v>
      </c>
      <c r="I181" s="14"/>
      <c r="J181" s="1" t="b">
        <v>0</v>
      </c>
    </row>
    <row r="182" s="1" customFormat="1" ht="21.95" customHeight="1" spans="1:10">
      <c r="A182" s="15"/>
      <c r="B182" s="7" t="s">
        <v>327</v>
      </c>
      <c r="C182" s="7" t="s">
        <v>325</v>
      </c>
      <c r="D182" s="8"/>
      <c r="E182" s="26" t="s">
        <v>14</v>
      </c>
      <c r="F182" s="8"/>
      <c r="G182" s="53"/>
      <c r="H182" s="7"/>
      <c r="I182" s="8"/>
      <c r="J182" s="1" t="b">
        <v>1</v>
      </c>
    </row>
    <row r="183" s="1" customFormat="1" ht="21.95" customHeight="1" spans="1:10">
      <c r="A183" s="15"/>
      <c r="B183" s="7" t="s">
        <v>328</v>
      </c>
      <c r="C183" s="7" t="s">
        <v>325</v>
      </c>
      <c r="D183" s="14" t="s">
        <v>329</v>
      </c>
      <c r="E183" s="26" t="s">
        <v>14</v>
      </c>
      <c r="F183" s="14">
        <v>11466</v>
      </c>
      <c r="G183" s="14"/>
      <c r="H183" s="7">
        <f t="shared" ref="H183:H214" si="6">G183-F183</f>
        <v>-11466</v>
      </c>
      <c r="I183" s="32"/>
      <c r="J183" s="1" t="b">
        <v>0</v>
      </c>
    </row>
    <row r="184" s="1" customFormat="1" ht="21.95" customHeight="1" spans="1:10">
      <c r="A184" s="15"/>
      <c r="B184" s="7" t="s">
        <v>330</v>
      </c>
      <c r="C184" s="7" t="s">
        <v>325</v>
      </c>
      <c r="D184" s="14" t="s">
        <v>331</v>
      </c>
      <c r="E184" s="26" t="s">
        <v>14</v>
      </c>
      <c r="F184" s="14">
        <v>3409</v>
      </c>
      <c r="G184" s="14"/>
      <c r="H184" s="7">
        <f t="shared" si="6"/>
        <v>-3409</v>
      </c>
      <c r="I184" s="32"/>
      <c r="J184" s="1" t="b">
        <v>0</v>
      </c>
    </row>
    <row r="185" s="1" customFormat="1" ht="21.95" customHeight="1" spans="1:10">
      <c r="A185" s="15"/>
      <c r="B185" s="7" t="s">
        <v>332</v>
      </c>
      <c r="C185" s="7" t="s">
        <v>291</v>
      </c>
      <c r="D185" s="7" t="s">
        <v>333</v>
      </c>
      <c r="E185" s="26" t="s">
        <v>14</v>
      </c>
      <c r="F185" s="14">
        <v>14002</v>
      </c>
      <c r="G185" s="14"/>
      <c r="H185" s="7">
        <f t="shared" si="6"/>
        <v>-14002</v>
      </c>
      <c r="I185" s="14" t="s">
        <v>334</v>
      </c>
      <c r="J185" s="1" t="b">
        <v>0</v>
      </c>
    </row>
    <row r="186" s="1" customFormat="1" ht="21.95" customHeight="1" spans="1:10">
      <c r="A186" s="15"/>
      <c r="B186" s="15"/>
      <c r="C186" s="7" t="s">
        <v>291</v>
      </c>
      <c r="D186" s="7" t="s">
        <v>335</v>
      </c>
      <c r="E186" s="26" t="s">
        <v>14</v>
      </c>
      <c r="F186" s="14">
        <v>5360</v>
      </c>
      <c r="G186" s="14"/>
      <c r="H186" s="7">
        <f t="shared" si="6"/>
        <v>-5360</v>
      </c>
      <c r="I186" s="14" t="s">
        <v>334</v>
      </c>
      <c r="J186" s="1" t="b">
        <v>0</v>
      </c>
    </row>
    <row r="187" s="1" customFormat="1" ht="21.95" customHeight="1" spans="1:10">
      <c r="A187" s="15"/>
      <c r="B187" s="15"/>
      <c r="C187" s="7" t="s">
        <v>291</v>
      </c>
      <c r="D187" s="7" t="s">
        <v>336</v>
      </c>
      <c r="E187" s="26" t="s">
        <v>14</v>
      </c>
      <c r="F187" s="14">
        <v>539</v>
      </c>
      <c r="G187" s="14"/>
      <c r="H187" s="7">
        <f t="shared" si="6"/>
        <v>-539</v>
      </c>
      <c r="I187" s="32"/>
      <c r="J187" s="1" t="b">
        <v>0</v>
      </c>
    </row>
    <row r="188" s="1" customFormat="1" ht="21.95" customHeight="1" spans="1:10">
      <c r="A188" s="15"/>
      <c r="B188" s="8"/>
      <c r="C188" s="7" t="s">
        <v>291</v>
      </c>
      <c r="D188" s="7" t="s">
        <v>337</v>
      </c>
      <c r="E188" s="26" t="s">
        <v>14</v>
      </c>
      <c r="F188" s="14">
        <v>21289</v>
      </c>
      <c r="G188" s="14"/>
      <c r="H188" s="7">
        <f t="shared" si="6"/>
        <v>-21289</v>
      </c>
      <c r="I188" s="32"/>
      <c r="J188" s="1" t="b">
        <v>0</v>
      </c>
    </row>
    <row r="189" s="1" customFormat="1" ht="21.95" customHeight="1" spans="1:10">
      <c r="A189" s="15"/>
      <c r="B189" s="7" t="s">
        <v>338</v>
      </c>
      <c r="C189" s="7"/>
      <c r="D189" s="14" t="s">
        <v>331</v>
      </c>
      <c r="E189" s="26" t="s">
        <v>14</v>
      </c>
      <c r="F189" s="14">
        <v>3409</v>
      </c>
      <c r="G189" s="14"/>
      <c r="H189" s="7">
        <f t="shared" si="6"/>
        <v>-3409</v>
      </c>
      <c r="I189" s="32"/>
      <c r="J189" s="1" t="b">
        <v>0</v>
      </c>
    </row>
    <row r="190" s="1" customFormat="1" ht="21.95" customHeight="1" spans="1:10">
      <c r="A190" s="17"/>
      <c r="B190" s="17"/>
      <c r="C190" s="17"/>
      <c r="D190" s="18"/>
      <c r="E190" s="18"/>
      <c r="F190" s="18"/>
      <c r="G190" s="18"/>
      <c r="H190" s="7"/>
      <c r="I190" s="17"/>
      <c r="J190" s="1" t="b">
        <v>1</v>
      </c>
    </row>
    <row r="191" s="1" customFormat="1" ht="21.95" customHeight="1" spans="1:10">
      <c r="A191" s="7" t="s">
        <v>339</v>
      </c>
      <c r="B191" s="7" t="s">
        <v>340</v>
      </c>
      <c r="C191" s="7" t="s">
        <v>341</v>
      </c>
      <c r="D191" s="14"/>
      <c r="E191" s="26" t="s">
        <v>14</v>
      </c>
      <c r="F191" s="14">
        <v>135829</v>
      </c>
      <c r="G191" s="14"/>
      <c r="H191" s="7">
        <f t="shared" si="6"/>
        <v>-135829</v>
      </c>
      <c r="I191" s="32"/>
      <c r="J191" s="1" t="b">
        <v>1</v>
      </c>
    </row>
    <row r="192" s="1" customFormat="1" ht="21.95" customHeight="1" spans="1:10">
      <c r="A192" s="15"/>
      <c r="B192" s="7" t="s">
        <v>342</v>
      </c>
      <c r="C192" s="7" t="s">
        <v>343</v>
      </c>
      <c r="D192" s="14"/>
      <c r="E192" s="26" t="s">
        <v>14</v>
      </c>
      <c r="F192" s="14">
        <v>47417</v>
      </c>
      <c r="G192" s="14"/>
      <c r="H192" s="7">
        <f t="shared" si="6"/>
        <v>-47417</v>
      </c>
      <c r="I192" s="32"/>
      <c r="J192" s="1" t="b">
        <v>1</v>
      </c>
    </row>
    <row r="193" s="1" customFormat="1" ht="21.95" customHeight="1" spans="1:10">
      <c r="A193" s="15"/>
      <c r="B193" s="7" t="s">
        <v>344</v>
      </c>
      <c r="C193" s="7" t="s">
        <v>341</v>
      </c>
      <c r="D193" s="14"/>
      <c r="E193" s="26" t="s">
        <v>14</v>
      </c>
      <c r="F193" s="14">
        <v>73275</v>
      </c>
      <c r="G193" s="14"/>
      <c r="H193" s="7">
        <f t="shared" si="6"/>
        <v>-73275</v>
      </c>
      <c r="I193" s="32"/>
      <c r="J193" s="1" t="b">
        <v>1</v>
      </c>
    </row>
    <row r="194" s="1" customFormat="1" ht="21.95" customHeight="1" spans="1:10">
      <c r="A194" s="8"/>
      <c r="B194" s="7" t="s">
        <v>345</v>
      </c>
      <c r="C194" s="7" t="s">
        <v>343</v>
      </c>
      <c r="D194" s="14"/>
      <c r="E194" s="26" t="s">
        <v>14</v>
      </c>
      <c r="F194" s="14">
        <v>7285</v>
      </c>
      <c r="G194" s="14"/>
      <c r="H194" s="7">
        <f t="shared" si="6"/>
        <v>-7285</v>
      </c>
      <c r="I194" s="32"/>
      <c r="J194" s="1" t="b">
        <v>1</v>
      </c>
    </row>
    <row r="195" s="1" customFormat="1" ht="21.95" customHeight="1" spans="1:10">
      <c r="A195" s="17"/>
      <c r="B195" s="17"/>
      <c r="C195" s="17"/>
      <c r="D195" s="18"/>
      <c r="E195" s="18"/>
      <c r="F195" s="18"/>
      <c r="G195" s="18"/>
      <c r="H195" s="7"/>
      <c r="I195" s="17"/>
      <c r="J195" s="1" t="b">
        <v>1</v>
      </c>
    </row>
    <row r="196" s="1" customFormat="1" ht="24.95" customHeight="1" spans="1:10">
      <c r="A196" s="7" t="s">
        <v>346</v>
      </c>
      <c r="B196" s="56" t="s">
        <v>347</v>
      </c>
      <c r="C196" s="7" t="s">
        <v>341</v>
      </c>
      <c r="D196" s="14" t="s">
        <v>348</v>
      </c>
      <c r="E196" s="26" t="s">
        <v>14</v>
      </c>
      <c r="F196" s="14">
        <v>43573</v>
      </c>
      <c r="G196" s="14"/>
      <c r="H196" s="7">
        <f t="shared" si="6"/>
        <v>-43573</v>
      </c>
      <c r="I196" s="48" t="s">
        <v>349</v>
      </c>
      <c r="J196" s="1" t="b">
        <v>1</v>
      </c>
    </row>
    <row r="197" s="1" customFormat="1" ht="21.95" customHeight="1" spans="1:10">
      <c r="A197" s="15"/>
      <c r="B197" s="7" t="s">
        <v>350</v>
      </c>
      <c r="C197" s="7" t="s">
        <v>343</v>
      </c>
      <c r="D197" s="14" t="s">
        <v>351</v>
      </c>
      <c r="E197" s="26" t="s">
        <v>14</v>
      </c>
      <c r="F197" s="14">
        <v>4152</v>
      </c>
      <c r="G197" s="14"/>
      <c r="H197" s="7">
        <f t="shared" si="6"/>
        <v>-4152</v>
      </c>
      <c r="I197" s="32"/>
      <c r="J197" s="1" t="b">
        <v>1</v>
      </c>
    </row>
    <row r="198" s="1" customFormat="1" ht="21.95" customHeight="1" spans="1:10">
      <c r="A198" s="15"/>
      <c r="B198" s="7"/>
      <c r="C198" s="7" t="s">
        <v>352</v>
      </c>
      <c r="D198" s="14" t="s">
        <v>353</v>
      </c>
      <c r="E198" s="26" t="s">
        <v>14</v>
      </c>
      <c r="F198" s="14"/>
      <c r="G198" s="14"/>
      <c r="H198" s="7"/>
      <c r="I198" s="32"/>
      <c r="J198" s="1" t="b">
        <v>1</v>
      </c>
    </row>
    <row r="199" s="1" customFormat="1" ht="21.95" customHeight="1" spans="1:10">
      <c r="A199" s="15"/>
      <c r="B199" s="7" t="s">
        <v>354</v>
      </c>
      <c r="C199" s="7" t="s">
        <v>341</v>
      </c>
      <c r="D199" s="14" t="s">
        <v>355</v>
      </c>
      <c r="E199" s="26" t="s">
        <v>14</v>
      </c>
      <c r="F199" s="14">
        <v>77120</v>
      </c>
      <c r="G199" s="14"/>
      <c r="H199" s="7">
        <f t="shared" si="6"/>
        <v>-77120</v>
      </c>
      <c r="I199" s="48" t="s">
        <v>356</v>
      </c>
      <c r="J199" s="1" t="b">
        <v>1</v>
      </c>
    </row>
    <row r="200" s="1" customFormat="1" ht="21.95" customHeight="1" spans="1:10">
      <c r="A200" s="15"/>
      <c r="B200" s="7" t="s">
        <v>357</v>
      </c>
      <c r="C200" s="7" t="s">
        <v>358</v>
      </c>
      <c r="D200" s="14"/>
      <c r="E200" s="26" t="s">
        <v>14</v>
      </c>
      <c r="F200" s="14">
        <v>5093</v>
      </c>
      <c r="G200" s="14"/>
      <c r="H200" s="7">
        <f t="shared" si="6"/>
        <v>-5093</v>
      </c>
      <c r="I200" s="32"/>
      <c r="J200" s="1" t="b">
        <v>1</v>
      </c>
    </row>
    <row r="201" s="1" customFormat="1" ht="21.95" customHeight="1" spans="1:10">
      <c r="A201" s="15"/>
      <c r="B201" s="7" t="s">
        <v>359</v>
      </c>
      <c r="C201" s="7" t="s">
        <v>358</v>
      </c>
      <c r="D201" s="14"/>
      <c r="E201" s="26" t="s">
        <v>14</v>
      </c>
      <c r="F201" s="14">
        <v>2004</v>
      </c>
      <c r="G201" s="14"/>
      <c r="H201" s="7">
        <f t="shared" si="6"/>
        <v>-2004</v>
      </c>
      <c r="I201" s="32"/>
      <c r="J201" s="1" t="b">
        <v>1</v>
      </c>
    </row>
    <row r="202" s="1" customFormat="1" ht="21.95" customHeight="1" spans="1:10">
      <c r="A202" s="8"/>
      <c r="B202" s="7" t="s">
        <v>360</v>
      </c>
      <c r="C202" s="7" t="s">
        <v>361</v>
      </c>
      <c r="D202" s="14"/>
      <c r="E202" s="26" t="s">
        <v>14</v>
      </c>
      <c r="F202" s="14">
        <v>46771</v>
      </c>
      <c r="G202" s="14"/>
      <c r="H202" s="7">
        <f t="shared" si="6"/>
        <v>-46771</v>
      </c>
      <c r="I202" s="32"/>
      <c r="J202" s="1" t="b">
        <v>1</v>
      </c>
    </row>
    <row r="203" s="1" customFormat="1" ht="21.95" customHeight="1" spans="1:10">
      <c r="A203" s="17"/>
      <c r="B203" s="17"/>
      <c r="C203" s="17"/>
      <c r="D203" s="18"/>
      <c r="E203" s="18"/>
      <c r="F203" s="18"/>
      <c r="G203" s="18"/>
      <c r="H203" s="7"/>
      <c r="I203" s="17"/>
      <c r="J203" s="1" t="b">
        <v>1</v>
      </c>
    </row>
    <row r="204" s="1" customFormat="1" ht="21.95" customHeight="1" spans="1:10">
      <c r="A204" s="7" t="s">
        <v>362</v>
      </c>
      <c r="B204" s="7" t="s">
        <v>363</v>
      </c>
      <c r="C204" s="7" t="s">
        <v>364</v>
      </c>
      <c r="D204" s="14"/>
      <c r="E204" s="26" t="s">
        <v>14</v>
      </c>
      <c r="F204" s="14">
        <v>130927</v>
      </c>
      <c r="G204" s="14"/>
      <c r="H204" s="7">
        <f t="shared" si="6"/>
        <v>-130927</v>
      </c>
      <c r="I204" s="32"/>
      <c r="J204" s="1" t="b">
        <v>1</v>
      </c>
    </row>
    <row r="205" s="1" customFormat="1" ht="21.95" customHeight="1" spans="1:10">
      <c r="A205" s="15"/>
      <c r="B205" s="15"/>
      <c r="C205" s="7" t="s">
        <v>364</v>
      </c>
      <c r="D205" s="14"/>
      <c r="E205" s="26" t="s">
        <v>14</v>
      </c>
      <c r="F205" s="14">
        <v>36053</v>
      </c>
      <c r="G205" s="14"/>
      <c r="H205" s="7">
        <f t="shared" si="6"/>
        <v>-36053</v>
      </c>
      <c r="I205" s="32"/>
      <c r="J205" s="1" t="b">
        <v>1</v>
      </c>
    </row>
    <row r="206" s="1" customFormat="1" ht="21.95" customHeight="1" spans="1:10">
      <c r="A206" s="15"/>
      <c r="B206" s="8"/>
      <c r="C206" s="7" t="s">
        <v>365</v>
      </c>
      <c r="D206" s="14"/>
      <c r="E206" s="26" t="s">
        <v>14</v>
      </c>
      <c r="F206" s="14">
        <v>7500</v>
      </c>
      <c r="G206" s="14"/>
      <c r="H206" s="7">
        <f t="shared" si="6"/>
        <v>-7500</v>
      </c>
      <c r="I206" s="32"/>
      <c r="J206" s="1" t="b">
        <v>1</v>
      </c>
    </row>
    <row r="207" s="1" customFormat="1" ht="21.95" customHeight="1" spans="1:10">
      <c r="A207" s="15"/>
      <c r="B207" s="7" t="s">
        <v>366</v>
      </c>
      <c r="C207" s="7" t="s">
        <v>364</v>
      </c>
      <c r="D207" s="14"/>
      <c r="E207" s="26" t="s">
        <v>14</v>
      </c>
      <c r="F207" s="14">
        <v>19362</v>
      </c>
      <c r="G207" s="14"/>
      <c r="H207" s="7">
        <f t="shared" si="6"/>
        <v>-19362</v>
      </c>
      <c r="I207" s="32"/>
      <c r="J207" s="1" t="b">
        <v>1</v>
      </c>
    </row>
    <row r="208" s="1" customFormat="1" ht="21.95" customHeight="1" spans="1:10">
      <c r="A208" s="15"/>
      <c r="B208" s="7" t="s">
        <v>367</v>
      </c>
      <c r="C208" s="7" t="s">
        <v>358</v>
      </c>
      <c r="D208" s="14"/>
      <c r="E208" s="26" t="s">
        <v>14</v>
      </c>
      <c r="F208" s="14">
        <v>61</v>
      </c>
      <c r="G208" s="14"/>
      <c r="H208" s="7">
        <f t="shared" si="6"/>
        <v>-61</v>
      </c>
      <c r="I208" s="32"/>
      <c r="J208" s="1" t="b">
        <v>1</v>
      </c>
    </row>
    <row r="209" s="1" customFormat="1" ht="21.95" customHeight="1" spans="1:10">
      <c r="A209" s="15"/>
      <c r="B209" s="7" t="s">
        <v>368</v>
      </c>
      <c r="C209" s="7" t="s">
        <v>358</v>
      </c>
      <c r="D209" s="14"/>
      <c r="E209" s="26" t="s">
        <v>14</v>
      </c>
      <c r="F209" s="14">
        <v>193</v>
      </c>
      <c r="G209" s="14"/>
      <c r="H209" s="7">
        <f t="shared" si="6"/>
        <v>-193</v>
      </c>
      <c r="I209" s="32"/>
      <c r="J209" s="1" t="b">
        <v>1</v>
      </c>
    </row>
    <row r="210" s="1" customFormat="1" ht="21.95" customHeight="1" spans="1:10">
      <c r="A210" s="8"/>
      <c r="B210" s="7" t="s">
        <v>369</v>
      </c>
      <c r="C210" s="7" t="s">
        <v>358</v>
      </c>
      <c r="D210" s="14"/>
      <c r="E210" s="26" t="s">
        <v>14</v>
      </c>
      <c r="F210" s="14"/>
      <c r="G210" s="14"/>
      <c r="H210" s="7"/>
      <c r="I210" s="32"/>
      <c r="J210" s="1" t="b">
        <v>1</v>
      </c>
    </row>
    <row r="211" s="1" customFormat="1" ht="21.95" customHeight="1" spans="1:10">
      <c r="A211" s="17"/>
      <c r="B211" s="17"/>
      <c r="C211" s="17"/>
      <c r="D211" s="18"/>
      <c r="E211" s="18"/>
      <c r="F211" s="18"/>
      <c r="G211" s="18"/>
      <c r="H211" s="7"/>
      <c r="I211" s="17"/>
      <c r="J211" s="1" t="b">
        <v>1</v>
      </c>
    </row>
    <row r="212" s="1" customFormat="1" ht="21.95" customHeight="1" spans="1:10">
      <c r="A212" s="7" t="s">
        <v>370</v>
      </c>
      <c r="B212" s="7" t="s">
        <v>371</v>
      </c>
      <c r="C212" s="7" t="s">
        <v>372</v>
      </c>
      <c r="D212" s="14"/>
      <c r="E212" s="26" t="s">
        <v>14</v>
      </c>
      <c r="F212" s="14">
        <v>24358</v>
      </c>
      <c r="G212" s="14"/>
      <c r="H212" s="7">
        <f t="shared" si="6"/>
        <v>-24358</v>
      </c>
      <c r="I212" s="32"/>
      <c r="J212" s="1" t="b">
        <v>1</v>
      </c>
    </row>
    <row r="213" s="1" customFormat="1" ht="21.95" customHeight="1" spans="1:10">
      <c r="A213" s="15"/>
      <c r="B213" s="15"/>
      <c r="C213" s="7" t="s">
        <v>372</v>
      </c>
      <c r="D213" s="14"/>
      <c r="E213" s="26" t="s">
        <v>14</v>
      </c>
      <c r="F213" s="14">
        <v>25075</v>
      </c>
      <c r="G213" s="14"/>
      <c r="H213" s="7">
        <f t="shared" si="6"/>
        <v>-25075</v>
      </c>
      <c r="I213" s="32"/>
      <c r="J213" s="1" t="b">
        <v>1</v>
      </c>
    </row>
    <row r="214" s="1" customFormat="1" ht="21.95" customHeight="1" spans="1:10">
      <c r="A214" s="15"/>
      <c r="B214" s="15"/>
      <c r="C214" s="7" t="s">
        <v>372</v>
      </c>
      <c r="D214" s="7" t="s">
        <v>358</v>
      </c>
      <c r="E214" s="26" t="s">
        <v>14</v>
      </c>
      <c r="F214" s="14">
        <v>3754</v>
      </c>
      <c r="G214" s="14"/>
      <c r="H214" s="7">
        <f t="shared" si="6"/>
        <v>-3754</v>
      </c>
      <c r="I214" s="32"/>
      <c r="J214" s="1" t="b">
        <v>0</v>
      </c>
    </row>
    <row r="215" s="1" customFormat="1" ht="21.95" customHeight="1" spans="1:10">
      <c r="A215" s="15"/>
      <c r="B215" s="15"/>
      <c r="C215" s="7" t="s">
        <v>372</v>
      </c>
      <c r="D215" s="7" t="s">
        <v>358</v>
      </c>
      <c r="E215" s="26" t="s">
        <v>14</v>
      </c>
      <c r="F215" s="14">
        <v>1671</v>
      </c>
      <c r="G215" s="14"/>
      <c r="H215" s="7">
        <f t="shared" ref="H215:H235" si="7">G215-F215</f>
        <v>-1671</v>
      </c>
      <c r="I215" s="32"/>
      <c r="J215" s="1" t="b">
        <v>0</v>
      </c>
    </row>
    <row r="216" s="1" customFormat="1" ht="21.95" customHeight="1" spans="1:10">
      <c r="A216" s="15"/>
      <c r="B216" s="15"/>
      <c r="C216" s="7" t="s">
        <v>372</v>
      </c>
      <c r="D216" s="7" t="s">
        <v>373</v>
      </c>
      <c r="E216" s="26" t="s">
        <v>14</v>
      </c>
      <c r="F216" s="14">
        <v>34541</v>
      </c>
      <c r="G216" s="14"/>
      <c r="H216" s="7">
        <f t="shared" si="7"/>
        <v>-34541</v>
      </c>
      <c r="I216" s="32"/>
      <c r="J216" s="1" t="b">
        <v>1</v>
      </c>
    </row>
    <row r="217" s="1" customFormat="1" ht="21.95" customHeight="1" spans="1:10">
      <c r="A217" s="8"/>
      <c r="B217" s="8"/>
      <c r="C217" s="7" t="s">
        <v>372</v>
      </c>
      <c r="D217" s="7" t="s">
        <v>374</v>
      </c>
      <c r="E217" s="26" t="s">
        <v>14</v>
      </c>
      <c r="F217" s="14">
        <v>2459</v>
      </c>
      <c r="G217" s="14"/>
      <c r="H217" s="7">
        <f t="shared" si="7"/>
        <v>-2459</v>
      </c>
      <c r="I217" s="32"/>
      <c r="J217" s="1" t="b">
        <v>1</v>
      </c>
    </row>
    <row r="218" s="1" customFormat="1" ht="21.95" customHeight="1" spans="1:10">
      <c r="A218" s="17"/>
      <c r="B218" s="17"/>
      <c r="C218" s="17"/>
      <c r="D218" s="18"/>
      <c r="E218" s="18"/>
      <c r="F218" s="18"/>
      <c r="G218" s="18"/>
      <c r="H218" s="7"/>
      <c r="I218" s="17"/>
      <c r="J218" s="1" t="b">
        <v>1</v>
      </c>
    </row>
    <row r="219" s="1" customFormat="1" ht="21.95" customHeight="1" spans="1:10">
      <c r="A219" s="7" t="s">
        <v>375</v>
      </c>
      <c r="B219" s="7" t="s">
        <v>376</v>
      </c>
      <c r="C219" s="7" t="s">
        <v>377</v>
      </c>
      <c r="D219" s="14"/>
      <c r="E219" s="26" t="s">
        <v>14</v>
      </c>
      <c r="F219" s="14">
        <v>33521</v>
      </c>
      <c r="G219" s="14"/>
      <c r="H219" s="7">
        <f t="shared" si="7"/>
        <v>-33521</v>
      </c>
      <c r="I219" s="32"/>
      <c r="J219" s="1" t="b">
        <v>1</v>
      </c>
    </row>
    <row r="220" s="1" customFormat="1" ht="21.95" customHeight="1" spans="1:10">
      <c r="A220" s="15"/>
      <c r="B220" s="15"/>
      <c r="C220" s="7" t="s">
        <v>377</v>
      </c>
      <c r="D220" s="14"/>
      <c r="E220" s="26" t="s">
        <v>14</v>
      </c>
      <c r="F220" s="14">
        <v>48447</v>
      </c>
      <c r="G220" s="14"/>
      <c r="H220" s="7">
        <f t="shared" si="7"/>
        <v>-48447</v>
      </c>
      <c r="I220" s="32"/>
      <c r="J220" s="1" t="b">
        <v>1</v>
      </c>
    </row>
    <row r="221" s="1" customFormat="1" ht="21.95" customHeight="1" spans="1:10">
      <c r="A221" s="15"/>
      <c r="B221" s="15"/>
      <c r="C221" s="7" t="s">
        <v>377</v>
      </c>
      <c r="D221" s="7" t="s">
        <v>378</v>
      </c>
      <c r="E221" s="26" t="s">
        <v>14</v>
      </c>
      <c r="F221" s="14">
        <v>49429</v>
      </c>
      <c r="G221" s="14"/>
      <c r="H221" s="7">
        <f t="shared" si="7"/>
        <v>-49429</v>
      </c>
      <c r="I221" s="32"/>
      <c r="J221" s="1" t="b">
        <v>1</v>
      </c>
    </row>
    <row r="222" s="1" customFormat="1" ht="21.95" customHeight="1" spans="1:10">
      <c r="A222" s="8"/>
      <c r="B222" s="8"/>
      <c r="C222" s="7" t="s">
        <v>377</v>
      </c>
      <c r="D222" s="7" t="s">
        <v>379</v>
      </c>
      <c r="E222" s="26" t="s">
        <v>14</v>
      </c>
      <c r="F222" s="14">
        <v>962</v>
      </c>
      <c r="G222" s="14"/>
      <c r="H222" s="7">
        <f t="shared" si="7"/>
        <v>-962</v>
      </c>
      <c r="I222" s="32"/>
      <c r="J222" s="1" t="b">
        <v>1</v>
      </c>
    </row>
    <row r="223" s="1" customFormat="1" ht="21.95" customHeight="1" spans="1:10">
      <c r="A223" s="17"/>
      <c r="B223" s="17"/>
      <c r="C223" s="17"/>
      <c r="D223" s="18"/>
      <c r="E223" s="18"/>
      <c r="F223" s="18"/>
      <c r="G223" s="18"/>
      <c r="H223" s="7"/>
      <c r="I223" s="17"/>
      <c r="J223" s="1" t="b">
        <v>1</v>
      </c>
    </row>
    <row r="224" s="1" customFormat="1" ht="21.95" customHeight="1" spans="1:10">
      <c r="A224" s="7" t="s">
        <v>380</v>
      </c>
      <c r="B224" s="7" t="s">
        <v>381</v>
      </c>
      <c r="C224" s="7" t="s">
        <v>358</v>
      </c>
      <c r="D224" s="14"/>
      <c r="E224" s="26" t="s">
        <v>14</v>
      </c>
      <c r="F224" s="14">
        <v>5428</v>
      </c>
      <c r="G224" s="14"/>
      <c r="H224" s="7">
        <f t="shared" si="7"/>
        <v>-5428</v>
      </c>
      <c r="I224" s="32"/>
      <c r="J224" s="1" t="b">
        <v>1</v>
      </c>
    </row>
    <row r="225" s="1" customFormat="1" ht="21.95" customHeight="1" spans="1:10">
      <c r="A225" s="15"/>
      <c r="B225" s="7" t="s">
        <v>311</v>
      </c>
      <c r="C225" s="7"/>
      <c r="D225" s="14"/>
      <c r="E225" s="26" t="s">
        <v>14</v>
      </c>
      <c r="F225" s="14">
        <v>74321</v>
      </c>
      <c r="G225" s="14"/>
      <c r="H225" s="7">
        <f t="shared" si="7"/>
        <v>-74321</v>
      </c>
      <c r="I225" s="32"/>
      <c r="J225" s="1" t="b">
        <v>1</v>
      </c>
    </row>
    <row r="226" s="1" customFormat="1" ht="21.95" customHeight="1" spans="1:10">
      <c r="A226" s="15"/>
      <c r="B226" s="8"/>
      <c r="C226" s="7"/>
      <c r="D226" s="14"/>
      <c r="E226" s="26" t="s">
        <v>14</v>
      </c>
      <c r="F226" s="14">
        <v>188284</v>
      </c>
      <c r="G226" s="14"/>
      <c r="H226" s="7">
        <f t="shared" si="7"/>
        <v>-188284</v>
      </c>
      <c r="I226" s="32"/>
      <c r="J226" s="1" t="b">
        <v>1</v>
      </c>
    </row>
    <row r="227" s="1" customFormat="1" ht="21.95" customHeight="1" spans="1:10">
      <c r="A227" s="15"/>
      <c r="B227" s="7" t="s">
        <v>382</v>
      </c>
      <c r="C227" s="7" t="s">
        <v>343</v>
      </c>
      <c r="D227" s="14"/>
      <c r="E227" s="26" t="s">
        <v>14</v>
      </c>
      <c r="F227" s="14"/>
      <c r="G227" s="14"/>
      <c r="H227" s="7"/>
      <c r="I227" s="32"/>
      <c r="J227" s="1" t="b">
        <v>1</v>
      </c>
    </row>
    <row r="228" s="1" customFormat="1" ht="21.95" customHeight="1" spans="1:10">
      <c r="A228" s="8"/>
      <c r="B228" s="7" t="s">
        <v>383</v>
      </c>
      <c r="C228" s="7" t="s">
        <v>343</v>
      </c>
      <c r="D228" s="14"/>
      <c r="E228" s="26" t="s">
        <v>14</v>
      </c>
      <c r="F228" s="14">
        <v>16933</v>
      </c>
      <c r="G228" s="14"/>
      <c r="H228" s="7">
        <f t="shared" si="7"/>
        <v>-16933</v>
      </c>
      <c r="I228" s="32"/>
      <c r="J228" s="1" t="b">
        <v>1</v>
      </c>
    </row>
    <row r="229" s="1" customFormat="1" ht="21.95" customHeight="1" spans="1:10">
      <c r="A229" s="17"/>
      <c r="B229" s="17"/>
      <c r="C229" s="17"/>
      <c r="D229" s="18"/>
      <c r="E229" s="18"/>
      <c r="F229" s="18"/>
      <c r="G229" s="18"/>
      <c r="H229" s="7"/>
      <c r="I229" s="17"/>
      <c r="J229" s="1" t="b">
        <v>1</v>
      </c>
    </row>
    <row r="230" s="1" customFormat="1" ht="21.95" customHeight="1" spans="1:10">
      <c r="A230" s="7" t="s">
        <v>384</v>
      </c>
      <c r="B230" s="7" t="s">
        <v>385</v>
      </c>
      <c r="C230" s="7" t="s">
        <v>358</v>
      </c>
      <c r="D230" s="14"/>
      <c r="E230" s="26" t="s">
        <v>14</v>
      </c>
      <c r="F230" s="14">
        <v>47939</v>
      </c>
      <c r="G230" s="14"/>
      <c r="H230" s="7">
        <f t="shared" si="7"/>
        <v>-47939</v>
      </c>
      <c r="I230" s="64" t="s">
        <v>386</v>
      </c>
      <c r="J230" s="1" t="b">
        <v>1</v>
      </c>
    </row>
    <row r="231" s="1" customFormat="1" ht="21.95" customHeight="1" spans="1:10">
      <c r="A231" s="15"/>
      <c r="B231" s="7" t="s">
        <v>387</v>
      </c>
      <c r="C231" s="7" t="s">
        <v>358</v>
      </c>
      <c r="D231" s="14"/>
      <c r="E231" s="26" t="s">
        <v>14</v>
      </c>
      <c r="F231" s="14">
        <v>103442</v>
      </c>
      <c r="G231" s="14"/>
      <c r="H231" s="7">
        <f t="shared" si="7"/>
        <v>-103442</v>
      </c>
      <c r="I231" s="65" t="s">
        <v>388</v>
      </c>
      <c r="J231" s="1" t="b">
        <v>1</v>
      </c>
    </row>
    <row r="232" s="1" customFormat="1" ht="21.95" customHeight="1" spans="1:10">
      <c r="A232" s="15"/>
      <c r="B232" s="7" t="s">
        <v>389</v>
      </c>
      <c r="C232" s="7" t="s">
        <v>358</v>
      </c>
      <c r="D232" s="14"/>
      <c r="E232" s="26" t="s">
        <v>14</v>
      </c>
      <c r="F232" s="14">
        <v>229</v>
      </c>
      <c r="G232" s="14"/>
      <c r="H232" s="7">
        <f t="shared" si="7"/>
        <v>-229</v>
      </c>
      <c r="I232" s="32"/>
      <c r="J232" s="1" t="b">
        <v>1</v>
      </c>
    </row>
    <row r="233" s="1" customFormat="1" ht="21.95" customHeight="1" spans="1:10">
      <c r="A233" s="15"/>
      <c r="B233" s="7" t="s">
        <v>390</v>
      </c>
      <c r="C233" s="7" t="s">
        <v>358</v>
      </c>
      <c r="D233" s="14" t="s">
        <v>391</v>
      </c>
      <c r="E233" s="26" t="s">
        <v>14</v>
      </c>
      <c r="F233" s="14">
        <v>73</v>
      </c>
      <c r="G233" s="14"/>
      <c r="H233" s="7">
        <f t="shared" si="7"/>
        <v>-73</v>
      </c>
      <c r="I233" s="32"/>
      <c r="J233" s="1" t="b">
        <v>0</v>
      </c>
    </row>
    <row r="234" s="1" customFormat="1" ht="21.95" customHeight="1" spans="1:10">
      <c r="A234" s="8"/>
      <c r="B234" s="7"/>
      <c r="C234" s="7"/>
      <c r="D234" s="14"/>
      <c r="E234" s="30"/>
      <c r="F234" s="14"/>
      <c r="G234" s="14"/>
      <c r="H234" s="7"/>
      <c r="I234" s="32"/>
      <c r="J234" s="1" t="b">
        <v>1</v>
      </c>
    </row>
    <row r="235" s="1" customFormat="1" ht="21.95" customHeight="1" spans="1:10">
      <c r="A235" s="57" t="s">
        <v>392</v>
      </c>
      <c r="B235" s="11"/>
      <c r="C235" s="11"/>
      <c r="D235" s="11"/>
      <c r="E235" s="11"/>
      <c r="F235" s="11"/>
      <c r="G235" s="11"/>
      <c r="H235" s="7"/>
      <c r="I235" s="66"/>
      <c r="J235" s="1" t="b">
        <v>1</v>
      </c>
    </row>
    <row r="236" s="1" customFormat="1" ht="30" customHeight="1" spans="1:10">
      <c r="A236" s="58" t="s">
        <v>1</v>
      </c>
      <c r="B236" s="58" t="s">
        <v>393</v>
      </c>
      <c r="C236" s="58" t="s">
        <v>394</v>
      </c>
      <c r="D236" s="58" t="s">
        <v>395</v>
      </c>
      <c r="E236" s="58" t="s">
        <v>5</v>
      </c>
      <c r="F236" s="62" t="s">
        <v>396</v>
      </c>
      <c r="G236" s="62" t="s">
        <v>397</v>
      </c>
      <c r="H236" s="58" t="s">
        <v>398</v>
      </c>
      <c r="I236" s="67"/>
      <c r="J236" s="1" t="b">
        <v>0</v>
      </c>
    </row>
    <row r="237" s="1" customFormat="1" ht="20.4" customHeight="1" spans="1:10">
      <c r="A237" s="59">
        <v>1</v>
      </c>
      <c r="B237" s="60" t="s">
        <v>399</v>
      </c>
      <c r="C237" s="59" t="s">
        <v>400</v>
      </c>
      <c r="D237" s="61" t="s">
        <v>401</v>
      </c>
      <c r="E237" s="59">
        <v>1</v>
      </c>
      <c r="F237" s="59">
        <v>109</v>
      </c>
      <c r="G237" s="59"/>
      <c r="H237" s="63"/>
      <c r="I237" s="68"/>
      <c r="J237" s="1" t="b">
        <v>0</v>
      </c>
    </row>
    <row r="238" s="1" customFormat="1" ht="20.4" customHeight="1" spans="1:10">
      <c r="A238" s="59">
        <v>2</v>
      </c>
      <c r="B238" s="15"/>
      <c r="C238" s="15"/>
      <c r="D238" s="61" t="s">
        <v>402</v>
      </c>
      <c r="E238" s="59">
        <v>1</v>
      </c>
      <c r="F238" s="59">
        <v>1</v>
      </c>
      <c r="G238" s="59"/>
      <c r="H238" s="63"/>
      <c r="I238" s="68"/>
      <c r="J238" s="1" t="b">
        <v>0</v>
      </c>
    </row>
    <row r="239" ht="20.4" customHeight="1" spans="1:10">
      <c r="A239" s="59">
        <v>3</v>
      </c>
      <c r="B239" s="15"/>
      <c r="C239" s="15"/>
      <c r="D239" s="61" t="s">
        <v>403</v>
      </c>
      <c r="E239" s="59">
        <v>1</v>
      </c>
      <c r="F239" s="59">
        <v>163126</v>
      </c>
      <c r="G239" s="59"/>
      <c r="H239" s="63"/>
      <c r="I239" s="68"/>
      <c r="J239" s="4" t="b">
        <v>0</v>
      </c>
    </row>
    <row r="240" ht="20.4" customHeight="1" spans="1:10">
      <c r="A240" s="59">
        <v>4</v>
      </c>
      <c r="B240" s="15"/>
      <c r="C240" s="8"/>
      <c r="D240" s="61" t="s">
        <v>404</v>
      </c>
      <c r="E240" s="59">
        <v>1</v>
      </c>
      <c r="F240" s="59">
        <v>4205</v>
      </c>
      <c r="G240" s="59"/>
      <c r="H240" s="63"/>
      <c r="I240" s="68"/>
      <c r="J240" s="4" t="b">
        <v>0</v>
      </c>
    </row>
    <row r="241" ht="20.4" customHeight="1" spans="1:10">
      <c r="A241" s="59">
        <v>5</v>
      </c>
      <c r="B241" s="15"/>
      <c r="C241" s="59" t="s">
        <v>405</v>
      </c>
      <c r="D241" s="61" t="s">
        <v>406</v>
      </c>
      <c r="E241" s="59">
        <v>1</v>
      </c>
      <c r="F241" s="59">
        <v>692</v>
      </c>
      <c r="G241" s="59"/>
      <c r="H241" s="63"/>
      <c r="I241" s="68"/>
      <c r="J241" s="4" t="b">
        <v>0</v>
      </c>
    </row>
    <row r="242" ht="36" customHeight="1" spans="1:10">
      <c r="A242" s="59">
        <v>6</v>
      </c>
      <c r="B242" s="15"/>
      <c r="C242" s="15"/>
      <c r="D242" s="61" t="s">
        <v>407</v>
      </c>
      <c r="E242" s="59">
        <v>1</v>
      </c>
      <c r="F242" s="59">
        <v>116932</v>
      </c>
      <c r="G242" s="59"/>
      <c r="H242" s="63"/>
      <c r="I242" s="68"/>
      <c r="J242" s="4" t="b">
        <v>0</v>
      </c>
    </row>
    <row r="243" ht="36" customHeight="1" spans="1:10">
      <c r="A243" s="59">
        <v>7</v>
      </c>
      <c r="B243" s="15"/>
      <c r="C243" s="15"/>
      <c r="D243" s="61" t="s">
        <v>408</v>
      </c>
      <c r="E243" s="59">
        <v>1</v>
      </c>
      <c r="F243" s="59">
        <v>168259</v>
      </c>
      <c r="G243" s="59"/>
      <c r="H243" s="63"/>
      <c r="I243" s="68"/>
      <c r="J243" s="4" t="b">
        <v>0</v>
      </c>
    </row>
    <row r="244" ht="36" customHeight="1" spans="1:10">
      <c r="A244" s="59">
        <v>8</v>
      </c>
      <c r="B244" s="15"/>
      <c r="C244" s="8"/>
      <c r="D244" s="61" t="s">
        <v>409</v>
      </c>
      <c r="E244" s="59">
        <v>1</v>
      </c>
      <c r="F244" s="59">
        <v>115973</v>
      </c>
      <c r="G244" s="59"/>
      <c r="H244" s="63"/>
      <c r="I244" s="68"/>
      <c r="J244" s="4" t="b">
        <v>0</v>
      </c>
    </row>
    <row r="245" ht="21" customHeight="1" spans="1:10">
      <c r="A245" s="59">
        <v>9</v>
      </c>
      <c r="B245" s="15"/>
      <c r="C245" s="60" t="s">
        <v>410</v>
      </c>
      <c r="D245" s="60" t="s">
        <v>411</v>
      </c>
      <c r="E245" s="59">
        <v>1</v>
      </c>
      <c r="F245" s="59">
        <v>233428</v>
      </c>
      <c r="G245" s="59"/>
      <c r="H245" s="63"/>
      <c r="I245" s="68"/>
      <c r="J245" s="4" t="b">
        <v>0</v>
      </c>
    </row>
    <row r="246" ht="21" customHeight="1" spans="1:10">
      <c r="A246" s="59">
        <v>10</v>
      </c>
      <c r="B246" s="15"/>
      <c r="C246" s="8"/>
      <c r="D246" s="60" t="s">
        <v>412</v>
      </c>
      <c r="E246" s="59">
        <v>1</v>
      </c>
      <c r="F246" s="59">
        <v>6073</v>
      </c>
      <c r="G246" s="59"/>
      <c r="H246" s="63"/>
      <c r="I246" s="68"/>
      <c r="J246" s="4" t="b">
        <v>0</v>
      </c>
    </row>
    <row r="247" ht="21" customHeight="1" spans="1:10">
      <c r="A247" s="59">
        <v>11</v>
      </c>
      <c r="B247" s="15"/>
      <c r="C247" s="59" t="s">
        <v>413</v>
      </c>
      <c r="D247" s="60" t="s">
        <v>414</v>
      </c>
      <c r="E247" s="59">
        <v>50</v>
      </c>
      <c r="F247" s="59">
        <v>963</v>
      </c>
      <c r="G247" s="59"/>
      <c r="H247" s="63"/>
      <c r="I247" s="68"/>
      <c r="J247" s="4" t="b">
        <v>0</v>
      </c>
    </row>
    <row r="248" ht="21" customHeight="1" spans="1:10">
      <c r="A248" s="59">
        <v>12</v>
      </c>
      <c r="B248" s="8"/>
      <c r="C248" s="8"/>
      <c r="D248" s="60" t="s">
        <v>415</v>
      </c>
      <c r="E248" s="59">
        <v>50</v>
      </c>
      <c r="F248" s="59">
        <v>2719</v>
      </c>
      <c r="G248" s="59"/>
      <c r="H248" s="63"/>
      <c r="I248" s="68"/>
      <c r="J248" s="4" t="b">
        <v>0</v>
      </c>
    </row>
    <row r="249" ht="21" customHeight="1" spans="1:10">
      <c r="A249" s="59">
        <v>1</v>
      </c>
      <c r="B249" s="59">
        <v>-1</v>
      </c>
      <c r="C249" s="59" t="s">
        <v>410</v>
      </c>
      <c r="D249" s="60" t="s">
        <v>416</v>
      </c>
      <c r="E249" s="59">
        <v>1</v>
      </c>
      <c r="F249" s="59">
        <v>22214</v>
      </c>
      <c r="G249" s="59"/>
      <c r="H249" s="63"/>
      <c r="I249" s="68"/>
      <c r="J249" s="4" t="b">
        <v>0</v>
      </c>
    </row>
    <row r="250" ht="20.4" customHeight="1" spans="1:10">
      <c r="A250" s="59">
        <v>2</v>
      </c>
      <c r="B250" s="8"/>
      <c r="C250" s="59" t="s">
        <v>417</v>
      </c>
      <c r="D250" s="61" t="s">
        <v>418</v>
      </c>
      <c r="E250" s="59">
        <v>1</v>
      </c>
      <c r="F250" s="59">
        <v>6794</v>
      </c>
      <c r="G250" s="59"/>
      <c r="H250" s="63"/>
      <c r="I250" s="68"/>
      <c r="J250" s="4" t="b">
        <v>0</v>
      </c>
    </row>
    <row r="251" ht="21" customHeight="1" spans="1:10">
      <c r="A251" s="59">
        <v>5</v>
      </c>
      <c r="B251" s="59">
        <v>2</v>
      </c>
      <c r="C251" s="59" t="s">
        <v>410</v>
      </c>
      <c r="D251" s="60" t="s">
        <v>419</v>
      </c>
      <c r="E251" s="59">
        <v>1</v>
      </c>
      <c r="F251" s="59">
        <v>123785</v>
      </c>
      <c r="G251" s="59"/>
      <c r="H251" s="63"/>
      <c r="I251" s="68"/>
      <c r="J251" s="4" t="b">
        <v>0</v>
      </c>
    </row>
    <row r="252" ht="21" customHeight="1" spans="1:10">
      <c r="A252" s="59">
        <v>6</v>
      </c>
      <c r="B252" s="8"/>
      <c r="C252" s="59" t="s">
        <v>417</v>
      </c>
      <c r="D252" s="60" t="s">
        <v>420</v>
      </c>
      <c r="E252" s="59">
        <v>1</v>
      </c>
      <c r="F252" s="59">
        <v>5984</v>
      </c>
      <c r="G252" s="59"/>
      <c r="H252" s="63"/>
      <c r="I252" s="68"/>
      <c r="J252" s="4" t="b">
        <v>0</v>
      </c>
    </row>
    <row r="253" ht="21" customHeight="1" spans="1:10">
      <c r="A253" s="59">
        <v>8</v>
      </c>
      <c r="B253" s="59">
        <v>3</v>
      </c>
      <c r="C253" s="59" t="s">
        <v>410</v>
      </c>
      <c r="D253" s="60" t="s">
        <v>421</v>
      </c>
      <c r="E253" s="59">
        <v>1</v>
      </c>
      <c r="F253" s="59">
        <v>64180</v>
      </c>
      <c r="G253" s="59"/>
      <c r="H253" s="63"/>
      <c r="I253" s="68"/>
      <c r="J253" s="4" t="b">
        <v>0</v>
      </c>
    </row>
    <row r="254" ht="21" customHeight="1" spans="1:10">
      <c r="A254" s="59">
        <v>9</v>
      </c>
      <c r="B254" s="8"/>
      <c r="C254" s="59" t="s">
        <v>417</v>
      </c>
      <c r="D254" s="60" t="s">
        <v>422</v>
      </c>
      <c r="E254" s="59">
        <v>1</v>
      </c>
      <c r="F254" s="59">
        <v>2576</v>
      </c>
      <c r="G254" s="59"/>
      <c r="H254" s="63"/>
      <c r="I254" s="68"/>
      <c r="J254" s="4" t="b">
        <v>0</v>
      </c>
    </row>
    <row r="255" ht="21" customHeight="1" spans="1:10">
      <c r="A255" s="59">
        <v>10</v>
      </c>
      <c r="B255" s="59">
        <v>4</v>
      </c>
      <c r="C255" s="59" t="s">
        <v>410</v>
      </c>
      <c r="D255" s="60" t="s">
        <v>423</v>
      </c>
      <c r="E255" s="59">
        <v>1</v>
      </c>
      <c r="F255" s="59">
        <v>60336</v>
      </c>
      <c r="G255" s="59"/>
      <c r="H255" s="63"/>
      <c r="I255" s="68"/>
      <c r="J255" s="4" t="b">
        <v>0</v>
      </c>
    </row>
    <row r="256" ht="21" customHeight="1" spans="1:10">
      <c r="A256" s="59">
        <v>11</v>
      </c>
      <c r="B256" s="8"/>
      <c r="C256" s="59" t="s">
        <v>417</v>
      </c>
      <c r="D256" s="60" t="s">
        <v>424</v>
      </c>
      <c r="E256" s="59">
        <v>1</v>
      </c>
      <c r="F256" s="59">
        <v>2161</v>
      </c>
      <c r="G256" s="59"/>
      <c r="H256" s="63"/>
      <c r="I256" s="68"/>
      <c r="J256" s="4" t="b">
        <v>0</v>
      </c>
    </row>
    <row r="257" ht="21" customHeight="1" spans="1:10">
      <c r="A257" s="59">
        <v>12</v>
      </c>
      <c r="B257" s="59">
        <v>5</v>
      </c>
      <c r="C257" s="69" t="s">
        <v>410</v>
      </c>
      <c r="D257" s="60" t="s">
        <v>425</v>
      </c>
      <c r="E257" s="59">
        <v>1</v>
      </c>
      <c r="F257" s="59">
        <v>64251</v>
      </c>
      <c r="G257" s="59"/>
      <c r="H257" s="63"/>
      <c r="I257" s="68"/>
      <c r="J257" s="4" t="b">
        <v>0</v>
      </c>
    </row>
    <row r="258" ht="21" customHeight="1" spans="1:10">
      <c r="A258" s="59">
        <v>13</v>
      </c>
      <c r="B258" s="8"/>
      <c r="C258" s="59" t="s">
        <v>417</v>
      </c>
      <c r="D258" s="60" t="s">
        <v>426</v>
      </c>
      <c r="E258" s="59">
        <v>1</v>
      </c>
      <c r="F258" s="59">
        <v>2479</v>
      </c>
      <c r="G258" s="59"/>
      <c r="H258" s="63"/>
      <c r="I258" s="68"/>
      <c r="J258" s="4" t="b">
        <v>0</v>
      </c>
    </row>
    <row r="259" ht="21" customHeight="1" spans="1:10">
      <c r="A259" s="59">
        <v>14</v>
      </c>
      <c r="B259" s="59">
        <v>8</v>
      </c>
      <c r="C259" s="59" t="s">
        <v>410</v>
      </c>
      <c r="D259" s="60" t="s">
        <v>427</v>
      </c>
      <c r="E259" s="59">
        <v>1</v>
      </c>
      <c r="F259" s="59">
        <v>51786</v>
      </c>
      <c r="G259" s="59"/>
      <c r="H259" s="63"/>
      <c r="I259" s="68"/>
      <c r="J259" s="4" t="b">
        <v>0</v>
      </c>
    </row>
    <row r="260" ht="21" customHeight="1" spans="1:10">
      <c r="A260" s="59">
        <v>15</v>
      </c>
      <c r="B260" s="8"/>
      <c r="C260" s="59" t="s">
        <v>417</v>
      </c>
      <c r="D260" s="60" t="s">
        <v>428</v>
      </c>
      <c r="E260" s="59">
        <v>1</v>
      </c>
      <c r="F260" s="59">
        <v>10023</v>
      </c>
      <c r="G260" s="59"/>
      <c r="H260" s="63"/>
      <c r="I260" s="68"/>
      <c r="J260" s="4" t="b">
        <v>0</v>
      </c>
    </row>
    <row r="261" ht="21" customHeight="1" spans="1:10">
      <c r="A261" s="59">
        <v>14</v>
      </c>
      <c r="B261" s="59">
        <v>9</v>
      </c>
      <c r="C261" s="59" t="s">
        <v>410</v>
      </c>
      <c r="D261" s="60" t="s">
        <v>429</v>
      </c>
      <c r="E261" s="59">
        <v>1</v>
      </c>
      <c r="F261" s="59">
        <v>59136</v>
      </c>
      <c r="G261" s="59"/>
      <c r="H261" s="63"/>
      <c r="I261" s="68"/>
      <c r="J261" s="4" t="b">
        <v>0</v>
      </c>
    </row>
    <row r="262" ht="21" customHeight="1" spans="1:10">
      <c r="A262" s="59">
        <v>15</v>
      </c>
      <c r="B262" s="8"/>
      <c r="C262" s="59" t="s">
        <v>417</v>
      </c>
      <c r="D262" s="60" t="s">
        <v>430</v>
      </c>
      <c r="E262" s="59">
        <v>1</v>
      </c>
      <c r="F262" s="59">
        <v>1584</v>
      </c>
      <c r="G262" s="59"/>
      <c r="H262" s="63"/>
      <c r="I262" s="68"/>
      <c r="J262" s="4" t="b">
        <v>0</v>
      </c>
    </row>
    <row r="263" ht="20.4" customHeight="1" spans="1:9">
      <c r="A263" s="70"/>
      <c r="B263" s="70"/>
      <c r="C263" s="71" t="s">
        <v>431</v>
      </c>
      <c r="D263" s="70"/>
      <c r="E263" s="70"/>
      <c r="F263" s="70"/>
      <c r="G263" s="70"/>
      <c r="H263" s="74"/>
      <c r="I263" s="68"/>
    </row>
    <row r="264" ht="20.1" customHeight="1" spans="1:9">
      <c r="A264" s="72" t="s">
        <v>432</v>
      </c>
      <c r="B264" s="51"/>
      <c r="C264" s="51"/>
      <c r="D264" s="51"/>
      <c r="E264" s="51"/>
      <c r="F264" s="51"/>
      <c r="G264" s="51"/>
      <c r="H264" s="51"/>
      <c r="I264" s="54"/>
    </row>
    <row r="265" spans="1:9">
      <c r="A265" s="73"/>
      <c r="B265" s="6"/>
      <c r="C265" s="6"/>
      <c r="D265" s="6"/>
      <c r="E265" s="6"/>
      <c r="F265" s="6"/>
      <c r="G265" s="6"/>
      <c r="H265" s="6"/>
      <c r="I265" s="75"/>
    </row>
  </sheetData>
  <mergeCells count="95">
    <mergeCell ref="A1:H1"/>
    <mergeCell ref="A6:D6"/>
    <mergeCell ref="A16:D16"/>
    <mergeCell ref="A28:D28"/>
    <mergeCell ref="A38:D38"/>
    <mergeCell ref="A44:D44"/>
    <mergeCell ref="A49:D49"/>
    <mergeCell ref="A53:D53"/>
    <mergeCell ref="A67:D67"/>
    <mergeCell ref="A74:D74"/>
    <mergeCell ref="A82:D82"/>
    <mergeCell ref="A97:D97"/>
    <mergeCell ref="A102:D102"/>
    <mergeCell ref="A110:D110"/>
    <mergeCell ref="A119:D119"/>
    <mergeCell ref="A160:D160"/>
    <mergeCell ref="A235:G235"/>
    <mergeCell ref="A2:A3"/>
    <mergeCell ref="A4:A5"/>
    <mergeCell ref="A13:A15"/>
    <mergeCell ref="A25:A27"/>
    <mergeCell ref="A34:A37"/>
    <mergeCell ref="A40:A42"/>
    <mergeCell ref="A46:A48"/>
    <mergeCell ref="A61:A66"/>
    <mergeCell ref="A69:A73"/>
    <mergeCell ref="A76:A81"/>
    <mergeCell ref="A84:A96"/>
    <mergeCell ref="A99:A100"/>
    <mergeCell ref="A103:A109"/>
    <mergeCell ref="A112:A117"/>
    <mergeCell ref="A121:A159"/>
    <mergeCell ref="A165:A168"/>
    <mergeCell ref="A170:A172"/>
    <mergeCell ref="A174:A189"/>
    <mergeCell ref="A191:A194"/>
    <mergeCell ref="A196:A202"/>
    <mergeCell ref="A204:A210"/>
    <mergeCell ref="A212:A217"/>
    <mergeCell ref="A219:A222"/>
    <mergeCell ref="A224:A228"/>
    <mergeCell ref="A230:A234"/>
    <mergeCell ref="B2:B3"/>
    <mergeCell ref="B4:B5"/>
    <mergeCell ref="B10:B11"/>
    <mergeCell ref="B13:B15"/>
    <mergeCell ref="B25:B27"/>
    <mergeCell ref="B34:B37"/>
    <mergeCell ref="B40:B42"/>
    <mergeCell ref="B46:B48"/>
    <mergeCell ref="B61:B66"/>
    <mergeCell ref="B69:B73"/>
    <mergeCell ref="B76:B81"/>
    <mergeCell ref="B84:B96"/>
    <mergeCell ref="B99:B100"/>
    <mergeCell ref="B103:B109"/>
    <mergeCell ref="B112:B117"/>
    <mergeCell ref="B121:B159"/>
    <mergeCell ref="B167:B168"/>
    <mergeCell ref="B175:B176"/>
    <mergeCell ref="B179:B180"/>
    <mergeCell ref="B185:B188"/>
    <mergeCell ref="B204:B206"/>
    <mergeCell ref="B212:B217"/>
    <mergeCell ref="B219:B222"/>
    <mergeCell ref="B225:B226"/>
    <mergeCell ref="B237:B248"/>
    <mergeCell ref="B249:B250"/>
    <mergeCell ref="B251:B252"/>
    <mergeCell ref="B253:B254"/>
    <mergeCell ref="B255:B256"/>
    <mergeCell ref="B257:B258"/>
    <mergeCell ref="B259:B260"/>
    <mergeCell ref="B261:B262"/>
    <mergeCell ref="C2:C3"/>
    <mergeCell ref="C10:C11"/>
    <mergeCell ref="C13:C15"/>
    <mergeCell ref="C237:C240"/>
    <mergeCell ref="C241:C244"/>
    <mergeCell ref="C245:C246"/>
    <mergeCell ref="C247:C248"/>
    <mergeCell ref="D2:D3"/>
    <mergeCell ref="D10:D11"/>
    <mergeCell ref="D13:D14"/>
    <mergeCell ref="D25:D26"/>
    <mergeCell ref="D121:D131"/>
    <mergeCell ref="D132:D143"/>
    <mergeCell ref="D144:D148"/>
    <mergeCell ref="D150:D156"/>
    <mergeCell ref="D157:D159"/>
    <mergeCell ref="D181:D182"/>
    <mergeCell ref="E181:E182"/>
    <mergeCell ref="G181:G182"/>
    <mergeCell ref="H2:H3"/>
    <mergeCell ref="A264:H265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scale="70" orientation="portrait"/>
  <headerFooter/>
  <rowBreaks count="6" manualBreakCount="6">
    <brk id="38" max="16383" man="1"/>
    <brk id="74" max="16383" man="1"/>
    <brk id="119" max="16383" man="1"/>
    <brk id="160" max="16383" man="1"/>
    <brk id="189" max="6" man="1"/>
    <brk id="23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</cp:lastModifiedBy>
  <dcterms:created xsi:type="dcterms:W3CDTF">2016-09-10T16:44:00Z</dcterms:created>
  <cp:lastPrinted>2025-11-19T01:20:00Z</cp:lastPrinted>
  <dcterms:modified xsi:type="dcterms:W3CDTF">2026-07-02T10:14:42Z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52821546F2634E749DE226DE5801F7A5_13</vt:lpwstr>
  </property>
</Properties>
</file>