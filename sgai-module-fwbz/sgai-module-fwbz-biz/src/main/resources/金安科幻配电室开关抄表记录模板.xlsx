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1560"/>
  </bookViews>
  <sheets>
    <sheet name="金安科幻配电室电量统计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<sst xmlns="http://schemas.openxmlformats.org/spreadsheetml/2006/main" count="1422" uniqueCount="1061">
  <si>
    <t>金安桥1#分配（提升泵站）负荷清单</t>
  </si>
  <si>
    <t>1#变压器</t>
  </si>
  <si>
    <t>柜号</t>
  </si>
  <si>
    <t>调度编号</t>
  </si>
  <si>
    <t>负荷名称</t>
  </si>
  <si>
    <t>{{L_year}}/{{L_month}}/{{L_day}}</t>
  </si>
  <si>
    <t>{{R_year}}/{{R_month}}/{{R_day}}</t>
  </si>
  <si>
    <t>用电量</t>
  </si>
  <si>
    <t>用电区域</t>
  </si>
  <si>
    <t>位置描述</t>
  </si>
  <si>
    <t>401</t>
  </si>
  <si>
    <t>1AA4</t>
  </si>
  <si>
    <t>411-1</t>
  </si>
  <si>
    <t>1#楼AA1（N4-4转运站动力照明用电）</t>
  </si>
  <si>
    <t>{{n:L_3053}}</t>
  </si>
  <si>
    <t>{{n:R_3053}}</t>
  </si>
  <si>
    <t>N4-4强电间</t>
  </si>
  <si>
    <t>411-2</t>
  </si>
  <si>
    <t>晋昀楼（4#楼一层南）F1AL-SY1</t>
  </si>
  <si>
    <t>{{n:L_3054}}</t>
  </si>
  <si>
    <t>{{n:R_3054}}</t>
  </si>
  <si>
    <t>提升泵站一层南侧商业（面馆）</t>
  </si>
  <si>
    <t>411-3</t>
  </si>
  <si>
    <t>4#楼南电井（B1-3层）B1AL1-F3AL1</t>
  </si>
  <si>
    <t>{{n:L_3055}}</t>
  </si>
  <si>
    <t>{{n:R_3055}}</t>
  </si>
  <si>
    <t>提升泵站楼南侧强电井</t>
  </si>
  <si>
    <t>411-4</t>
  </si>
  <si>
    <t>A区景观照明AP01</t>
  </si>
  <si>
    <t>{{n:L_3056}}</t>
  </si>
  <si>
    <t>{{n:R_3056}}</t>
  </si>
  <si>
    <t>N4-2西北侧AP01景观照明</t>
  </si>
  <si>
    <t>411-5</t>
  </si>
  <si>
    <t>C区景观照明AP01</t>
  </si>
  <si>
    <t>{{n:L_3057}}</t>
  </si>
  <si>
    <t>{{n:R_3057}}</t>
  </si>
  <si>
    <t>1#停车场56#车位东侧绿地</t>
  </si>
  <si>
    <t>411-6</t>
  </si>
  <si>
    <t>极限公园（攀岩AL1(库房)），AL2</t>
  </si>
  <si>
    <t>{{n:L_3058}}</t>
  </si>
  <si>
    <t>{{n:R_3058}}</t>
  </si>
  <si>
    <t>极限公园</t>
  </si>
  <si>
    <t>1AA5</t>
  </si>
  <si>
    <t>412-1</t>
  </si>
  <si>
    <t>睿尔曼 二层 F2AW1</t>
  </si>
  <si>
    <t>{{n:L_3059}}</t>
  </si>
  <si>
    <t>{{n:R_3059}}</t>
  </si>
  <si>
    <t>提升泵站南侧二层强电井</t>
  </si>
  <si>
    <t>412-2</t>
  </si>
  <si>
    <t>睿尔曼 三层B区 F3AW1</t>
  </si>
  <si>
    <t>{{n:L_3060}}</t>
  </si>
  <si>
    <t>{{n:R_3060}}</t>
  </si>
  <si>
    <t>提升泵站南侧三层强电井</t>
  </si>
  <si>
    <t>412-3</t>
  </si>
  <si>
    <t>提升泵站消防弱电分控室-安防用电B1AT-AF(备）</t>
  </si>
  <si>
    <t>{{n:L_3061}}</t>
  </si>
  <si>
    <t>{{n:R_3061}}</t>
  </si>
  <si>
    <t>地下一层消防控制室</t>
  </si>
  <si>
    <t>412-4</t>
  </si>
  <si>
    <t>提升泵站弱电机房B1AT-RD（主）</t>
  </si>
  <si>
    <t>{{n:L_3062}}</t>
  </si>
  <si>
    <t>{{n:R_3062}}</t>
  </si>
  <si>
    <t>地下一层通信机房</t>
  </si>
  <si>
    <t>412-5</t>
  </si>
  <si>
    <t>提升泵站有线电视机房B1AT-YXDS(备）</t>
  </si>
  <si>
    <t>{{n:L_3063}}</t>
  </si>
  <si>
    <t>{{n:R_3063}}</t>
  </si>
  <si>
    <t>提升泵站地下一层北侧有线电视机房</t>
  </si>
  <si>
    <t>412-6</t>
  </si>
  <si>
    <t>提升泵站平时兼事故风机F1ATP-SG2(备）</t>
  </si>
  <si>
    <t>{{n:L_3064}}</t>
  </si>
  <si>
    <t>{{n:R_3064}}</t>
  </si>
  <si>
    <t>提升泵站北侧强电井</t>
  </si>
  <si>
    <t>412-7</t>
  </si>
  <si>
    <t>极限公园办公室ALZ</t>
  </si>
  <si>
    <t>{{n:L_3065}}</t>
  </si>
  <si>
    <t>{{n:R_3065}}</t>
  </si>
  <si>
    <t>412-8</t>
  </si>
  <si>
    <t>备用</t>
  </si>
  <si>
    <t>{{n:L_3066}}</t>
  </si>
  <si>
    <t>{{n:R_3066}}</t>
  </si>
  <si>
    <t>退出</t>
  </si>
  <si>
    <t>1AA6</t>
  </si>
  <si>
    <t>413-1</t>
  </si>
  <si>
    <t>提升泵站变配电室事故风机B1ATP-SG1-2(主）</t>
  </si>
  <si>
    <t>{{n:L_3067}}</t>
  </si>
  <si>
    <t>{{n:R_3067}}</t>
  </si>
  <si>
    <t>配电室东墙（SG2），地下一层送风机房（SG1）</t>
  </si>
  <si>
    <t>413-2</t>
  </si>
  <si>
    <t>提升泵站地下一层南侧排水泵B1ATP-PW1(备）</t>
  </si>
  <si>
    <t>{{n:L_3068}}</t>
  </si>
  <si>
    <t>{{n:R_3068}}</t>
  </si>
  <si>
    <t>提升泵站地下一层南侧强电井</t>
  </si>
  <si>
    <t>413-3</t>
  </si>
  <si>
    <t>提升泵站地下一层北侧排水泵B1ATP-PW2(主）</t>
  </si>
  <si>
    <t>{{n:L_3069}}</t>
  </si>
  <si>
    <t>{{n:R_3069}}</t>
  </si>
  <si>
    <t>提升泵站地下一层北侧强电井</t>
  </si>
  <si>
    <t>413-4</t>
  </si>
  <si>
    <t>提升泵站生活水泵房B1ATP-SHSB(备）</t>
  </si>
  <si>
    <t>{{n:L_3070}}</t>
  </si>
  <si>
    <t>{{n:R_3070}}</t>
  </si>
  <si>
    <t>提升泵站地下一层生活水泵房</t>
  </si>
  <si>
    <t>413-5</t>
  </si>
  <si>
    <t>提升泵站中水泵房B1ATP-ZSJF(备）</t>
  </si>
  <si>
    <t>{{n:L_3071}}</t>
  </si>
  <si>
    <t>{{n:R_3071}}</t>
  </si>
  <si>
    <t>地下一层中水泵房</t>
  </si>
  <si>
    <t>413-6</t>
  </si>
  <si>
    <t>13#梯（备用）WDATP-DT1(备）</t>
  </si>
  <si>
    <t>{{n:L_3072}}</t>
  </si>
  <si>
    <t>{{n:R_3072}}</t>
  </si>
  <si>
    <t>提升泵站屋顶南侧南1电梯间</t>
  </si>
  <si>
    <t>413-7</t>
  </si>
  <si>
    <t>{{n:L_3073}}</t>
  </si>
  <si>
    <t>{{n:R_3073}}</t>
  </si>
  <si>
    <t>413-8</t>
  </si>
  <si>
    <t>{{n:L_3074}}</t>
  </si>
  <si>
    <t>{{n:R_3074}}</t>
  </si>
  <si>
    <t>1AA7</t>
  </si>
  <si>
    <t>414-1</t>
  </si>
  <si>
    <t>12#梯（主用）WDATP-DT2(主）</t>
  </si>
  <si>
    <t>{{n:L_3075}}</t>
  </si>
  <si>
    <t>{{n:R_3075}}</t>
  </si>
  <si>
    <t>提升泵站屋顶南侧南2电梯间</t>
  </si>
  <si>
    <t>414-2</t>
  </si>
  <si>
    <t>14#梯（备用）WDATP-DT3(备）</t>
  </si>
  <si>
    <t>{{n:L_3076}}</t>
  </si>
  <si>
    <t>{{n:R_3076}}</t>
  </si>
  <si>
    <t>提升泵站屋顶北侧北1电梯间</t>
  </si>
  <si>
    <t>414-3</t>
  </si>
  <si>
    <t>提升泵站制冷机房用电ZLAA3</t>
  </si>
  <si>
    <t>{{n:L_3077}}</t>
  </si>
  <si>
    <t>{{n:R_3077}}</t>
  </si>
  <si>
    <t>地下一层制冷机房值班室</t>
  </si>
  <si>
    <t>414-4</t>
  </si>
  <si>
    <t>{{n:L_3078}}</t>
  </si>
  <si>
    <t>{{n:R_3078}}</t>
  </si>
  <si>
    <t>设计地面交流充电桩用电</t>
  </si>
  <si>
    <t>414-5</t>
  </si>
  <si>
    <t>睿尔曼 2层南侧新增（F2AW3）</t>
  </si>
  <si>
    <t>{{n:L_3079}}</t>
  </si>
  <si>
    <t>{{n:R_3079}}</t>
  </si>
  <si>
    <t>提升泵站2层南侧新增</t>
  </si>
  <si>
    <t>414-6</t>
  </si>
  <si>
    <t>{{n:L_3080}}</t>
  </si>
  <si>
    <t>{{n:R_3080}}</t>
  </si>
  <si>
    <t>1AA8</t>
  </si>
  <si>
    <t>415-1</t>
  </si>
  <si>
    <t>顺德（味妙）电源F1AL-SY2</t>
  </si>
  <si>
    <t>{{n:L_3081}}</t>
  </si>
  <si>
    <t>{{n:R_3081}}</t>
  </si>
  <si>
    <t>提升泵站楼一层南侧商业2（味妙）</t>
  </si>
  <si>
    <t>415-2</t>
  </si>
  <si>
    <t>提升泵站地下一层新风机组B1AP-XF1-2</t>
  </si>
  <si>
    <t>{{n:L_3082}}</t>
  </si>
  <si>
    <t>{{n:R_3082}}</t>
  </si>
  <si>
    <t>地下一层配电室南新风机房</t>
  </si>
  <si>
    <t>415-3</t>
  </si>
  <si>
    <t>提升泵站地下一层隔油设备B1AP-隔油提升设备</t>
  </si>
  <si>
    <t>{{n:L_3083}}</t>
  </si>
  <si>
    <t>{{n:R_3083}}</t>
  </si>
  <si>
    <t>提升泵站地下一层隔油间</t>
  </si>
  <si>
    <t>415-4</t>
  </si>
  <si>
    <t>提升泵站排风机WDAP-PF2、WDAP-PF1</t>
  </si>
  <si>
    <t>{{n:L_3084}}</t>
  </si>
  <si>
    <t>{{n:R_3084}}</t>
  </si>
  <si>
    <t>B1AP-PFZ</t>
  </si>
  <si>
    <t>提升泵站屋顶南侧排风机房外、地下一层北侧强电井</t>
  </si>
  <si>
    <t>415-5</t>
  </si>
  <si>
    <t>提升泵站地下一层换热机房B1AP-HRZ(备）</t>
  </si>
  <si>
    <t>{{n:L_3085}}</t>
  </si>
  <si>
    <t>{{n:R_3085}}</t>
  </si>
  <si>
    <t>地下一层换热站</t>
  </si>
  <si>
    <t>415-6</t>
  </si>
  <si>
    <t>三层睿尔曼新增A区（南）</t>
  </si>
  <si>
    <t>{{n:L_3086}}</t>
  </si>
  <si>
    <t>{{n:R_3086}}</t>
  </si>
  <si>
    <t>415-7</t>
  </si>
  <si>
    <t>{{n:L_3087}}</t>
  </si>
  <si>
    <t>{{n:R_3087}}</t>
  </si>
  <si>
    <t>1AA9</t>
  </si>
  <si>
    <t>416-1</t>
  </si>
  <si>
    <t>提升泵站制冷机组3</t>
  </si>
  <si>
    <t>{{n:L_3088}}</t>
  </si>
  <si>
    <t>{{n:R_3088}}</t>
  </si>
  <si>
    <t>制冷机房3#制冷机组</t>
  </si>
  <si>
    <t>416-2</t>
  </si>
  <si>
    <t>{{n:L_3089}}</t>
  </si>
  <si>
    <t>{{n:R_3089}}</t>
  </si>
  <si>
    <t>2#变压器</t>
  </si>
  <si>
    <t>402</t>
  </si>
  <si>
    <t>2AA9</t>
  </si>
  <si>
    <t>427-1</t>
  </si>
  <si>
    <t>提升泵站制冷机组2</t>
  </si>
  <si>
    <t>{{n:L_3126}}</t>
  </si>
  <si>
    <t>{{n:R_3126}}</t>
  </si>
  <si>
    <t>制冷机房2#制冷机组</t>
  </si>
  <si>
    <t>427-2</t>
  </si>
  <si>
    <t>{{n:L_3127}}</t>
  </si>
  <si>
    <t>{{n:R_3127}}</t>
  </si>
  <si>
    <t>2AA8</t>
  </si>
  <si>
    <t>426-1</t>
  </si>
  <si>
    <t>提升泵站制冷机房用电1ZLAA1/ZLAA2</t>
  </si>
  <si>
    <t>{{n:L_3119}}</t>
  </si>
  <si>
    <t>{{n:R_3119}}</t>
  </si>
  <si>
    <t>提升泵站制冷机房</t>
  </si>
  <si>
    <t>426-2</t>
  </si>
  <si>
    <t>提升泵站地下一层换热机房B1AP-HRZ(主）</t>
  </si>
  <si>
    <t>{{n:L_3120}}</t>
  </si>
  <si>
    <t>{{n:R_3120}}</t>
  </si>
  <si>
    <t>426-3</t>
  </si>
  <si>
    <t>本楼（4#楼）泛光照明</t>
  </si>
  <si>
    <t>{{n:L_3121}}</t>
  </si>
  <si>
    <t>{{n:R_3121}}</t>
  </si>
  <si>
    <t>一层南北电井FLG箱</t>
  </si>
  <si>
    <t>426-4</t>
  </si>
  <si>
    <t>（金百合）提升泵站地下一层餐厅用电B1AL-CT</t>
  </si>
  <si>
    <t>{{n:L_3122}}</t>
  </si>
  <si>
    <t>{{n:R_3122}}</t>
  </si>
  <si>
    <t>金百合</t>
  </si>
  <si>
    <t>426-5</t>
  </si>
  <si>
    <t>雨水收集</t>
  </si>
  <si>
    <t>{{n:L_3123}}</t>
  </si>
  <si>
    <t>{{n:R_3123}}</t>
  </si>
  <si>
    <t>426-6</t>
  </si>
  <si>
    <t>{{n:L_3124}}</t>
  </si>
  <si>
    <t>{{n:R_3124}}</t>
  </si>
  <si>
    <t>426-7</t>
  </si>
  <si>
    <t>{{n:L_3125}}</t>
  </si>
  <si>
    <t>{{n:R_3125}}</t>
  </si>
  <si>
    <t>2AA7</t>
  </si>
  <si>
    <t>425-1</t>
  </si>
  <si>
    <t>12#电梯（备用）WDATP-DT2(备）</t>
  </si>
  <si>
    <t>{{n:L_3113}}</t>
  </si>
  <si>
    <t>{{n:R_3113}}</t>
  </si>
  <si>
    <t>425-2</t>
  </si>
  <si>
    <t>14#电梯（主用）WDATP-DT3(主）</t>
  </si>
  <si>
    <t>{{n:L_3114}}</t>
  </si>
  <si>
    <t>{{n:R_3114}}</t>
  </si>
  <si>
    <t>425-3</t>
  </si>
  <si>
    <t>极限公园AP2西</t>
  </si>
  <si>
    <t>{{n:L_3115}}</t>
  </si>
  <si>
    <t>{{n:R_3115}}</t>
  </si>
  <si>
    <t>425-4</t>
  </si>
  <si>
    <t>{{n:L_3116}}</t>
  </si>
  <si>
    <t>{{n:R_3116}}</t>
  </si>
  <si>
    <t>425-5</t>
  </si>
  <si>
    <t>{{n:L_3117}}</t>
  </si>
  <si>
    <t>{{n:R_3117}}</t>
  </si>
  <si>
    <t>425-6</t>
  </si>
  <si>
    <t>极限公园AP3东</t>
  </si>
  <si>
    <t>{{n:L_3118}}</t>
  </si>
  <si>
    <t>{{n:R_3118}}</t>
  </si>
  <si>
    <t>2AA6</t>
  </si>
  <si>
    <t>424-1</t>
  </si>
  <si>
    <t>提升泵站变配电室事故风机B1ATP-SG1-2(备）</t>
  </si>
  <si>
    <t>{{n:L_3105}}</t>
  </si>
  <si>
    <t>{{n:R_3105}}</t>
  </si>
  <si>
    <t>424-2</t>
  </si>
  <si>
    <t>提升泵站地下一层西侧排水泵B1ATP-PW1(主）</t>
  </si>
  <si>
    <t>{{n:L_3106}}</t>
  </si>
  <si>
    <t>{{n:R_3106}}</t>
  </si>
  <si>
    <t>地下一层南侧强电井</t>
  </si>
  <si>
    <t>424-3</t>
  </si>
  <si>
    <t>提升泵站地下一层东侧排水泵B1ATP-PW2(备）</t>
  </si>
  <si>
    <t>{{n:L_3107}}</t>
  </si>
  <si>
    <t>{{n:R_3107}}</t>
  </si>
  <si>
    <t>地下一层北侧强电井</t>
  </si>
  <si>
    <t>424-4</t>
  </si>
  <si>
    <t>提升泵站生活水泵房B1ATP-SHSB(主）</t>
  </si>
  <si>
    <t>{{n:L_3108}}</t>
  </si>
  <si>
    <t>{{n:R_3108}}</t>
  </si>
  <si>
    <t>地下一层生活水泵房</t>
  </si>
  <si>
    <t>424-5</t>
  </si>
  <si>
    <t>提升泵站中水泵房B1ATP-ZSJF(主）</t>
  </si>
  <si>
    <t>{{n:L_3109}}</t>
  </si>
  <si>
    <t>{{n:R_3109}}</t>
  </si>
  <si>
    <t>424-6</t>
  </si>
  <si>
    <t>13#电梯（主用）WDATP-DT1(主）</t>
  </si>
  <si>
    <t>{{n:L_3110}}</t>
  </si>
  <si>
    <t>{{n:R_3110}}</t>
  </si>
  <si>
    <t>424-7</t>
  </si>
  <si>
    <t>JX-VRV</t>
  </si>
  <si>
    <t>{{n:L_3111}}</t>
  </si>
  <si>
    <t>{{n:R_3111}}</t>
  </si>
  <si>
    <t>提升泵站屋顶北侧多联机室外机</t>
  </si>
  <si>
    <t>424-8</t>
  </si>
  <si>
    <t>{{n:L_3112}}</t>
  </si>
  <si>
    <t>{{n:R_3112}}</t>
  </si>
  <si>
    <t>2AA5</t>
  </si>
  <si>
    <t>423-1</t>
  </si>
  <si>
    <t>提升泵站二层北侧办公用电F2AW2</t>
  </si>
  <si>
    <t>{{n:L_3097}}</t>
  </si>
  <si>
    <t>{{n:R_3097}}</t>
  </si>
  <si>
    <t>提升泵站北侧二层强电井</t>
  </si>
  <si>
    <t>423-2</t>
  </si>
  <si>
    <t>提升泵站三层北侧办公用电F3AW2</t>
  </si>
  <si>
    <t>{{n:L_3098}}</t>
  </si>
  <si>
    <t>{{n:R_3098}}</t>
  </si>
  <si>
    <t>提升泵站北侧三层强电井</t>
  </si>
  <si>
    <t>423-3</t>
  </si>
  <si>
    <t>提升泵站消防弱电分控室-安防用电B1AT-AF(主）</t>
  </si>
  <si>
    <t>{{n:L_3099}}</t>
  </si>
  <si>
    <t>{{n:R_3099}}</t>
  </si>
  <si>
    <t>423-4</t>
  </si>
  <si>
    <t>提升泵站弱电机房B1AT-RD（备）</t>
  </si>
  <si>
    <t>{{n:L_3100}}</t>
  </si>
  <si>
    <t>{{n:R_3100}}</t>
  </si>
  <si>
    <t>地下一层北侧通信机房</t>
  </si>
  <si>
    <t>423-5</t>
  </si>
  <si>
    <t>提升泵站有线电视机房B1AT-YXDS(主）</t>
  </si>
  <si>
    <t>{{n:L_3101}}</t>
  </si>
  <si>
    <t>{{n:R_3101}}</t>
  </si>
  <si>
    <t>地下一层北侧有线电视机房</t>
  </si>
  <si>
    <t>423-6</t>
  </si>
  <si>
    <t>提升泵站平时兼事故风机F1ATP-SG2(主）</t>
  </si>
  <si>
    <t>{{n:L_3102}}</t>
  </si>
  <si>
    <t>{{n:R_3102}}</t>
  </si>
  <si>
    <t>提升泵站楼北侧强电井</t>
  </si>
  <si>
    <t>423-7</t>
  </si>
  <si>
    <t>多联机</t>
  </si>
  <si>
    <t>{{n:L_3103}}</t>
  </si>
  <si>
    <t>{{n:R_3103}}</t>
  </si>
  <si>
    <t>423-8</t>
  </si>
  <si>
    <t>通廊照明</t>
  </si>
  <si>
    <t>{{n:L_3104}}</t>
  </si>
  <si>
    <t>{{n:R_3104}}</t>
  </si>
  <si>
    <t>2AA4</t>
  </si>
  <si>
    <t>422-1</t>
  </si>
  <si>
    <t>1#楼（N4-4转运站）2AA2</t>
  </si>
  <si>
    <t>{{n:L_3091}}</t>
  </si>
  <si>
    <t>{{n:R_3091}}</t>
  </si>
  <si>
    <t>422-2</t>
  </si>
  <si>
    <t>提升泵站一层东侧商业3用电F1AL-SY3</t>
  </si>
  <si>
    <t>{{n:L_3092}}</t>
  </si>
  <si>
    <t>{{n:R_3092}}</t>
  </si>
  <si>
    <t>提升泵站一层北2商业</t>
  </si>
  <si>
    <t>422-3</t>
  </si>
  <si>
    <t>提升泵站一层东侧商业4用电F1AL-SY4</t>
  </si>
  <si>
    <t>{{n:L_3093}}</t>
  </si>
  <si>
    <t>{{n:R_3093}}</t>
  </si>
  <si>
    <t>提升泵站一层北1商业</t>
  </si>
  <si>
    <t>422-4</t>
  </si>
  <si>
    <t>提升泵站西侧地下一层至三层公共用电B1AL2-F3AL2</t>
  </si>
  <si>
    <t>{{n:L_3094}}</t>
  </si>
  <si>
    <t>{{n:R_3094}}</t>
  </si>
  <si>
    <t>422-5</t>
  </si>
  <si>
    <t xml:space="preserve">4#楼3层睿尔曼新增B区（北）
</t>
  </si>
  <si>
    <t>{{n:L_3095}}</t>
  </si>
  <si>
    <t>{{n:R_3095}}</t>
  </si>
  <si>
    <t>422-6</t>
  </si>
  <si>
    <t>{{n:L_3096}}</t>
  </si>
  <si>
    <t>{{n:R_3096}}</t>
  </si>
  <si>
    <t>3#变压器</t>
  </si>
  <si>
    <t>403</t>
  </si>
  <si>
    <t>3AA5</t>
  </si>
  <si>
    <t>431-1</t>
  </si>
  <si>
    <t>2#楼 Ⅰ段电源   1/AA1</t>
  </si>
  <si>
    <t>{{n:L_3130}}</t>
  </si>
  <si>
    <t>{{n:R_3130}}</t>
  </si>
  <si>
    <t>N3-4&amp;N4-3转运站改造动力照明用电</t>
  </si>
  <si>
    <t>431-2</t>
  </si>
  <si>
    <t>{{n:L_3131}}</t>
  </si>
  <si>
    <t>{{n:R_3131}}</t>
  </si>
  <si>
    <t>431-3</t>
  </si>
  <si>
    <t>{{n:L_3132}}</t>
  </si>
  <si>
    <t>{{n:R_3132}}</t>
  </si>
  <si>
    <t>3AA6</t>
  </si>
  <si>
    <t>432-1</t>
  </si>
  <si>
    <t>{{n:L_3133}}</t>
  </si>
  <si>
    <t>{{n:R_3133}}</t>
  </si>
  <si>
    <t>432-2</t>
  </si>
  <si>
    <t>牧公子</t>
  </si>
  <si>
    <t>{{n:L_3134}}</t>
  </si>
  <si>
    <t>{{n:R_3134}}</t>
  </si>
  <si>
    <t>432-3</t>
  </si>
  <si>
    <t>３＃楼（N4-2）1AA1</t>
  </si>
  <si>
    <t>{{n:L_3135}}</t>
  </si>
  <si>
    <t>{{n:R_3135}}</t>
  </si>
  <si>
    <t>N4-2强电间</t>
  </si>
  <si>
    <t>432-4</t>
  </si>
  <si>
    <t>３＃楼（N4-2）3AA7</t>
  </si>
  <si>
    <t>{{n:L_3136}}</t>
  </si>
  <si>
    <t>{{n:R_3136}}</t>
  </si>
  <si>
    <t>3AA7</t>
  </si>
  <si>
    <t>433-1</t>
  </si>
  <si>
    <t>（金百合）提升泵站地下一层餐厅用电B1AP-CF  11#电梯</t>
  </si>
  <si>
    <t>{{n:L_3137}}</t>
  </si>
  <si>
    <t>{{n:R_3137}}</t>
  </si>
  <si>
    <t>提升泵站地下一层南侧西墙上（金百合）</t>
  </si>
  <si>
    <t>433-2</t>
  </si>
  <si>
    <t>提升泵站平时兼事故风机B1ATP-SG3/F1ATP-SG1(主）</t>
  </si>
  <si>
    <t>{{n:L_3138}}</t>
  </si>
  <si>
    <t>{{n:R_3138}}</t>
  </si>
  <si>
    <t>433-3</t>
  </si>
  <si>
    <t>15#电梯（主用）WDATP-DT4(主）</t>
  </si>
  <si>
    <t>{{n:L_3139}}</t>
  </si>
  <si>
    <t>{{n:R_3139}}</t>
  </si>
  <si>
    <t>提升泵站屋顶北侧北2电梯间</t>
  </si>
  <si>
    <t>433-4</t>
  </si>
  <si>
    <t>直流屏（主）</t>
  </si>
  <si>
    <t>{{n:L_3140}}</t>
  </si>
  <si>
    <t>{{n:R_3140}}</t>
  </si>
  <si>
    <t>提升泵站配电室</t>
  </si>
  <si>
    <t>433-5</t>
  </si>
  <si>
    <t>{{n:L_3141}}</t>
  </si>
  <si>
    <t>{{n:R_3141}}</t>
  </si>
  <si>
    <t>433-6</t>
  </si>
  <si>
    <t>燃气调压站</t>
  </si>
  <si>
    <t>{{n:L_3142}}</t>
  </si>
  <si>
    <t>{{n:R_3142}}</t>
  </si>
  <si>
    <t>433-7</t>
  </si>
  <si>
    <t>{{n:L_3143}}</t>
  </si>
  <si>
    <t>{{n:R_3143}}</t>
  </si>
  <si>
    <t>433-8</t>
  </si>
  <si>
    <t>金百合3#电源</t>
  </si>
  <si>
    <t>{{n:L_3144}}</t>
  </si>
  <si>
    <t>{{n:R_3144}}</t>
  </si>
  <si>
    <t>3AA8</t>
  </si>
  <si>
    <t>434-1</t>
  </si>
  <si>
    <t>提升泵站西侧地下一层至地上三层应急照明B1ALE1-F3ALE1(主）</t>
  </si>
  <si>
    <t>{{n:L_3145}}</t>
  </si>
  <si>
    <t>{{n:R_3145}}</t>
  </si>
  <si>
    <t>434-2</t>
  </si>
  <si>
    <t>提升泵站东侧地下一层至地上三层应急照明B1ALE2-F3ALE2(备）</t>
  </si>
  <si>
    <t>{{n:L_3146}}</t>
  </si>
  <si>
    <t>{{n:R_3146}}</t>
  </si>
  <si>
    <t>434-3</t>
  </si>
  <si>
    <t>提升泵站本室照明B1AT-BDZ(备）</t>
  </si>
  <si>
    <t>{{n:L_3147}}</t>
  </si>
  <si>
    <t>{{n:R_3147}}</t>
  </si>
  <si>
    <t>提升泵站配电室值班室</t>
  </si>
  <si>
    <t>434-4</t>
  </si>
  <si>
    <t>提升泵站消防风机B1ATPE-BF2(备）、WDATPE-PY2（备）</t>
  </si>
  <si>
    <t>{{n:L_3148}}</t>
  </si>
  <si>
    <t>{{n:R_3148}}</t>
  </si>
  <si>
    <t>提升泵站地下一层送风机房、提升泵站屋顶北侧排风机房</t>
  </si>
  <si>
    <t>434-5</t>
  </si>
  <si>
    <t>提升泵站消防风机WDATPE-PY1/B1ATPE-BF1(主）</t>
  </si>
  <si>
    <t>{{n:L_3149}}</t>
  </si>
  <si>
    <t>{{n:R_3149}}</t>
  </si>
  <si>
    <t>提升泵站屋顶南侧排风机房</t>
  </si>
  <si>
    <t>434-6</t>
  </si>
  <si>
    <t>提升泵站消防弱电分控室-消防用电B1ATE-XF(主）</t>
  </si>
  <si>
    <t>{{n:L_3150}}</t>
  </si>
  <si>
    <t>{{n:R_3150}}</t>
  </si>
  <si>
    <t>434-7</t>
  </si>
  <si>
    <t>提升泵站消防泵房B1ATPE-XFB(备）</t>
  </si>
  <si>
    <t>{{n:L_3151}}</t>
  </si>
  <si>
    <t>{{n:R_3151}}</t>
  </si>
  <si>
    <t>地下一层消防水泵房</t>
  </si>
  <si>
    <t>434-8</t>
  </si>
  <si>
    <t>{{n:L_3152}}</t>
  </si>
  <si>
    <t>{{n:R_3152}}</t>
  </si>
  <si>
    <t>4#变压器</t>
  </si>
  <si>
    <t>404</t>
  </si>
  <si>
    <t>4AA9</t>
  </si>
  <si>
    <t>447-1</t>
  </si>
  <si>
    <t>提升泵站西侧地下一层至地上三层应急照明B1ALE1-F3ALE1(备）</t>
  </si>
  <si>
    <t>{{n:L_3172}}</t>
  </si>
  <si>
    <t>{{n:R_3172}}</t>
  </si>
  <si>
    <t>提升泵站地下一层至三层南侧强电井</t>
  </si>
  <si>
    <t>447-2</t>
  </si>
  <si>
    <t>提升泵站东侧地下一层至地上三层应急照明B1ALE2-F3ALE2(主）</t>
  </si>
  <si>
    <t>{{n:L_3173}}</t>
  </si>
  <si>
    <t>{{n:R_3173}}</t>
  </si>
  <si>
    <t>提升泵站地下一层至三层北侧强电井</t>
  </si>
  <si>
    <t>447-3</t>
  </si>
  <si>
    <t>提升泵站本室照明B1AT-BDZ(主）</t>
  </si>
  <si>
    <t>{{n:L_3174}}</t>
  </si>
  <si>
    <t>{{n:R_3174}}</t>
  </si>
  <si>
    <t>447-4</t>
  </si>
  <si>
    <t>提升泵站消防风机B1ATPE-BF2(主）、WDATPE-PY2（主）</t>
  </si>
  <si>
    <t>{{n:L_3175}}</t>
  </si>
  <si>
    <t>{{n:R_3175}}</t>
  </si>
  <si>
    <t>447-5</t>
  </si>
  <si>
    <t>提升泵站消防风机WDATPE-PY1/B1ATPE-BF1(备）</t>
  </si>
  <si>
    <t>{{n:L_3176}}</t>
  </si>
  <si>
    <t>{{n:R_3176}}</t>
  </si>
  <si>
    <t>447-6</t>
  </si>
  <si>
    <t>提升泵站消防弱电分控室-消防用电B1ATE-XF(备）</t>
  </si>
  <si>
    <t>{{n:L_3177}}</t>
  </si>
  <si>
    <t>{{n:R_3177}}</t>
  </si>
  <si>
    <t>447-7</t>
  </si>
  <si>
    <t>提升泵站消防泵房B1ATPE-XFB(主）</t>
  </si>
  <si>
    <t>{{n:L_3178}}</t>
  </si>
  <si>
    <t>{{n:R_3178}}</t>
  </si>
  <si>
    <t>447-8</t>
  </si>
  <si>
    <t>{{n:L_3179}}</t>
  </si>
  <si>
    <t>{{n:R_3179}}</t>
  </si>
  <si>
    <t>4AA8</t>
  </si>
  <si>
    <t>446-1</t>
  </si>
  <si>
    <t>提升泵站制冷机组1</t>
  </si>
  <si>
    <t>{{n:L_3170}}</t>
  </si>
  <si>
    <t>{{n:R_3170}}</t>
  </si>
  <si>
    <t>446-2</t>
  </si>
  <si>
    <t>{{n:L_3171}}</t>
  </si>
  <si>
    <t>{{n:R_3171}}</t>
  </si>
  <si>
    <t>4AA7</t>
  </si>
  <si>
    <t>444-1</t>
  </si>
  <si>
    <t>{{n:L_3162}}</t>
  </si>
  <si>
    <t>{{n:R_3162}}</t>
  </si>
  <si>
    <t>444-2</t>
  </si>
  <si>
    <t>提升泵站平时兼事故风机B1ATP-SG3/F1ATP-SG1(备）</t>
  </si>
  <si>
    <t>{{n:L_3163}}</t>
  </si>
  <si>
    <t>{{n:R_3163}}</t>
  </si>
  <si>
    <t>444-3</t>
  </si>
  <si>
    <t>15#电梯（备用）WDATP-DT4(备）</t>
  </si>
  <si>
    <t>{{n:L_3164}}</t>
  </si>
  <si>
    <t>{{n:R_3164}}</t>
  </si>
  <si>
    <t>444-4</t>
  </si>
  <si>
    <t>直流屏（备）</t>
  </si>
  <si>
    <t>{{n:L_3165}}</t>
  </si>
  <si>
    <t>{{n:R_3165}}</t>
  </si>
  <si>
    <t>444-5</t>
  </si>
  <si>
    <t>{{n:L_3166}}</t>
  </si>
  <si>
    <t>{{n:R_3166}}</t>
  </si>
  <si>
    <t>444-6</t>
  </si>
  <si>
    <t>{{n:L_3167}}</t>
  </si>
  <si>
    <t>{{n:R_3167}}</t>
  </si>
  <si>
    <t>444-7</t>
  </si>
  <si>
    <t>钢恋超市（102B室）</t>
  </si>
  <si>
    <t>{{n:L_3168}}</t>
  </si>
  <si>
    <t>{{n:R_3168}}</t>
  </si>
  <si>
    <t>提升泵站</t>
  </si>
  <si>
    <t>4AA6</t>
  </si>
  <si>
    <t>443-1</t>
  </si>
  <si>
    <t>{{n:L_3158}}</t>
  </si>
  <si>
    <t>{{n:R_3158}}</t>
  </si>
  <si>
    <t>443-2</t>
  </si>
  <si>
    <t>{{n:L_3159}}</t>
  </si>
  <si>
    <t>{{n:R_3159}}</t>
  </si>
  <si>
    <t>443-3</t>
  </si>
  <si>
    <t>3#楼　　2AA4</t>
  </si>
  <si>
    <t>{{n:L_3160}}</t>
  </si>
  <si>
    <t>{{n:R_3160}}</t>
  </si>
  <si>
    <t>443-4</t>
  </si>
  <si>
    <t>３＃楼　4AA10　</t>
  </si>
  <si>
    <t>{{n:L_3161}}</t>
  </si>
  <si>
    <t>{{n:R_3161}}</t>
  </si>
  <si>
    <t>4AA5</t>
  </si>
  <si>
    <t>442-1</t>
  </si>
  <si>
    <t>2#楼Ⅱ段电源   2/AA11</t>
  </si>
  <si>
    <t>{{n:L_3155}}</t>
  </si>
  <si>
    <t>{{n:R_3155}}</t>
  </si>
  <si>
    <t>N3-4&amp;N4-3转运站地下一层强电间及N4-2动力照明</t>
  </si>
  <si>
    <t>442-2</t>
  </si>
  <si>
    <t>顺德厨房</t>
  </si>
  <si>
    <t>{{n:L_3156}}</t>
  </si>
  <si>
    <t>{{n:R_3156}}</t>
  </si>
  <si>
    <t>442-3</t>
  </si>
  <si>
    <t>{{n:L_3157}}</t>
  </si>
  <si>
    <t>{{n:R_3157}}</t>
  </si>
  <si>
    <t>金安桥2#分配（D区除尘改造）负荷清单</t>
  </si>
  <si>
    <t>咪咕西楼一层 F1AL1</t>
  </si>
  <si>
    <t>{{n:L_2891}}</t>
  </si>
  <si>
    <t>{{n:R_2891}}</t>
  </si>
  <si>
    <t>除尘改造A1</t>
  </si>
  <si>
    <t>A1一层强电井</t>
  </si>
  <si>
    <t>咪咕西楼二 三层 F2AL1/F3AL1</t>
  </si>
  <si>
    <t>{{n:L_2892}}</t>
  </si>
  <si>
    <t>{{n:R_2892}}</t>
  </si>
  <si>
    <t>A1二、三层强电井</t>
  </si>
  <si>
    <t>5#楼中控室-安防用电F1AT-AFZ(备）</t>
  </si>
  <si>
    <t>{{n:L_2893}}</t>
  </si>
  <si>
    <t>{{n:R_2893}}</t>
  </si>
  <si>
    <t>主电室</t>
  </si>
  <si>
    <t>9#楼地下一层车库用电B1AL1a/B1AL2a</t>
  </si>
  <si>
    <t>{{n:L_2894}}</t>
  </si>
  <si>
    <t>{{n:R_2894}}</t>
  </si>
  <si>
    <t>除尘改造A1地下车库</t>
  </si>
  <si>
    <t>{{n:L_2895}}</t>
  </si>
  <si>
    <t>{{n:R_2895}}</t>
  </si>
  <si>
    <t>{{n:L_2896}}</t>
  </si>
  <si>
    <t>{{n:R_2896}}</t>
  </si>
  <si>
    <t>咪咕东楼四五层 F4AL2/F5AL2</t>
  </si>
  <si>
    <t>{{n:L_2897}}</t>
  </si>
  <si>
    <t>{{n:R_2897}}</t>
  </si>
  <si>
    <t>除尘改造A3</t>
  </si>
  <si>
    <t>咪咕108室 F1-ALSY5</t>
  </si>
  <si>
    <t>{{n:L_2898}}</t>
  </si>
  <si>
    <t>{{n:R_2898}}</t>
  </si>
  <si>
    <t>除尘改造首层商业</t>
  </si>
  <si>
    <t>咪咕204室F2-AL办</t>
  </si>
  <si>
    <t>{{n:L_2899}}</t>
  </si>
  <si>
    <t>{{n:R_2899}}</t>
  </si>
  <si>
    <t xml:space="preserve">  D-1#办公用电A4</t>
  </si>
  <si>
    <t>主电室改造高压总配F1AL-GY(备）</t>
  </si>
  <si>
    <t>{{n:L_2900}}</t>
  </si>
  <si>
    <t>{{n:R_2900}}</t>
  </si>
  <si>
    <t>{{n:L_2901}}</t>
  </si>
  <si>
    <t>{{n:R_2901}}</t>
  </si>
  <si>
    <t>{{n:L_2902}}</t>
  </si>
  <si>
    <t>{{n:R_2902}}</t>
  </si>
  <si>
    <t>9#楼地库国网充电桩 B1AP1-CD1</t>
  </si>
  <si>
    <t>{{n:L_2903}}</t>
  </si>
  <si>
    <t>{{n:R_2903}}</t>
  </si>
  <si>
    <t>A3地下配电间</t>
  </si>
  <si>
    <t>除尘改造地库直流充电桩用电B1AP1-CD5</t>
  </si>
  <si>
    <t>{{n:L_2904}}</t>
  </si>
  <si>
    <t>{{n:R_2904}}</t>
  </si>
  <si>
    <t>除尘改造地库排水泵B1ATP-PW1-3(备）</t>
  </si>
  <si>
    <t>{{n:L_2905}}</t>
  </si>
  <si>
    <t>{{n:R_2905}}</t>
  </si>
  <si>
    <t>除尘改造东侧弱电竖井一层至五层设备预留电源（F1-F5)RD2(备）</t>
  </si>
  <si>
    <t>{{n:L_2906}}</t>
  </si>
  <si>
    <t>{{n:R_2906}}</t>
  </si>
  <si>
    <t>{{n:L_2907}}</t>
  </si>
  <si>
    <t>{{n:R_2907}}</t>
  </si>
  <si>
    <t>{{n:L_2908}}</t>
  </si>
  <si>
    <t>{{n:R_2908}}</t>
  </si>
  <si>
    <t>22#-23#电梯  F5ATP-DT1(主）</t>
  </si>
  <si>
    <t>{{n:L_2909}}</t>
  </si>
  <si>
    <t>{{n:R_2909}}</t>
  </si>
  <si>
    <t>西楼五层</t>
  </si>
  <si>
    <t>24#-25#电梯 WDATP-DT(备）</t>
  </si>
  <si>
    <t>{{n:L_2910}}</t>
  </si>
  <si>
    <t>{{n:R_2910}}</t>
  </si>
  <si>
    <t>东楼顶层</t>
  </si>
  <si>
    <t>除尘改造变电室事故风机B1ATP-PF1/B1ATP-BF1(主）</t>
  </si>
  <si>
    <t>{{n:L_2911}}</t>
  </si>
  <si>
    <t>{{n:R_2911}}</t>
  </si>
  <si>
    <t>A1地下一层西侧送风机房、排风机房</t>
  </si>
  <si>
    <t>除尘改造地下一层空压机B1ATPKY1-2(主）</t>
  </si>
  <si>
    <t>{{n:L_2912}}</t>
  </si>
  <si>
    <t>{{n:R_2912}}</t>
  </si>
  <si>
    <t>地库管道电伴热B1ATDBR(主）</t>
  </si>
  <si>
    <t>{{n:L_2913}}</t>
  </si>
  <si>
    <t>{{n:R_2913}}</t>
  </si>
  <si>
    <t>除尘改造一层商业新风机组F1AP1(东侧）</t>
  </si>
  <si>
    <t>{{n:L_2914}}</t>
  </si>
  <si>
    <t>{{n:R_2914}}</t>
  </si>
  <si>
    <t>414-7</t>
  </si>
  <si>
    <t>咪咕西楼二层新增</t>
  </si>
  <si>
    <t>{{n:L_2915}}</t>
  </si>
  <si>
    <t>{{n:R_2915}}</t>
  </si>
  <si>
    <t>414-8</t>
  </si>
  <si>
    <t>咪咕204室新增电源</t>
  </si>
  <si>
    <t>{{n:L_2916}}</t>
  </si>
  <si>
    <t>{{n:R_2916}}</t>
  </si>
  <si>
    <t>除尘改造地库直流充电桩用电B1AP1-CD4</t>
  </si>
  <si>
    <t>{{n:L_2917}}</t>
  </si>
  <si>
    <t>{{n:R_2917}}</t>
  </si>
  <si>
    <t>{{n:L_2918}}</t>
  </si>
  <si>
    <t>{{n:R_2918}}</t>
  </si>
  <si>
    <t>设计除尘改造地面充电桩（8台）</t>
  </si>
  <si>
    <t>除尘改造首层配套商业预留厨房事故风机F1APFB1-3(主）</t>
  </si>
  <si>
    <t>{{n:L_2919}}</t>
  </si>
  <si>
    <t>{{n:R_2919}}</t>
  </si>
  <si>
    <t>A1一层南侧预留电箱</t>
  </si>
  <si>
    <t>{{n:L_2920}}</t>
  </si>
  <si>
    <t>{{n:R_2920}}</t>
  </si>
  <si>
    <t>咪咕西楼5层  F5AL1新增</t>
  </si>
  <si>
    <t>{{n:L_2921}}</t>
  </si>
  <si>
    <t>{{n:R_2921}}</t>
  </si>
  <si>
    <t>{{n:L_2922}}</t>
  </si>
  <si>
    <t>{{n:R_2922}}</t>
  </si>
  <si>
    <t>1AA10</t>
  </si>
  <si>
    <t>9#楼本体泛光照明</t>
  </si>
  <si>
    <t>{{n:L_2923}}</t>
  </si>
  <si>
    <t>{{n:R_2923}}</t>
  </si>
  <si>
    <t>A1一层强电井、A3一层强电井</t>
  </si>
  <si>
    <t>除尘改造消防弱电分控室-安防用电B1AT-AF(备）</t>
  </si>
  <si>
    <t>{{n:L_2924}}</t>
  </si>
  <si>
    <t>{{n:R_2924}}</t>
  </si>
  <si>
    <t>416-3</t>
  </si>
  <si>
    <t>除尘改造东侧送排风机F2APKT/WDAP-PF1</t>
  </si>
  <si>
    <t>{{n:L_2925}}</t>
  </si>
  <si>
    <t>{{n:R_2925}}</t>
  </si>
  <si>
    <t>416-4</t>
  </si>
  <si>
    <t>除尘改造室分系统机房B1AL-SFJF</t>
  </si>
  <si>
    <t>{{n:L_2926}}</t>
  </si>
  <si>
    <t>{{n:R_2926}}</t>
  </si>
  <si>
    <t>416-5</t>
  </si>
  <si>
    <t>主电室直流屏（主）</t>
  </si>
  <si>
    <t>{{n:L_2927}}</t>
  </si>
  <si>
    <t>{{n:R_2927}}</t>
  </si>
  <si>
    <t>416-6</t>
  </si>
  <si>
    <t>F2AT-YL2 备</t>
  </si>
  <si>
    <t>{{n:L_2928}}</t>
  </si>
  <si>
    <t>{{n:R_2928}}</t>
  </si>
  <si>
    <t>416-7</t>
  </si>
  <si>
    <t>{{n:L_2929}}</t>
  </si>
  <si>
    <t>{{n:R_2929}}</t>
  </si>
  <si>
    <t>1AA11</t>
  </si>
  <si>
    <t>417-1</t>
  </si>
  <si>
    <t>咪咕西楼  应急照明B1-F5ALE1(备）</t>
  </si>
  <si>
    <t>{{n:L_2930}}</t>
  </si>
  <si>
    <t>{{n:R_2930}}</t>
  </si>
  <si>
    <t>A1强电井 地下一层至五层</t>
  </si>
  <si>
    <t>417-2</t>
  </si>
  <si>
    <t>咪咕东楼 应急照明B1-F5ALE2(备）</t>
  </si>
  <si>
    <t>{{n:L_2931}}</t>
  </si>
  <si>
    <t>{{n:R_2931}}</t>
  </si>
  <si>
    <t>A3强电井地下一层至五层</t>
  </si>
  <si>
    <t>417-3</t>
  </si>
  <si>
    <t>9#楼b1消防弱电分控室-消防用电B1ATE-XF(主）</t>
  </si>
  <si>
    <t>{{n:L_2932}}</t>
  </si>
  <si>
    <t>{{n:R_2932}}</t>
  </si>
  <si>
    <t>417-4</t>
  </si>
  <si>
    <t>5#楼中控 消防用电F1ATE-XFZ(主）</t>
  </si>
  <si>
    <t>{{n:L_2933}}</t>
  </si>
  <si>
    <t>{{n:R_2933}}</t>
  </si>
  <si>
    <t>417-5</t>
  </si>
  <si>
    <t>除尘改造变配电所本室照明B1AT-变配电室（主）</t>
  </si>
  <si>
    <t>{{n:L_2934}}</t>
  </si>
  <si>
    <t>{{n:R_2934}}</t>
  </si>
  <si>
    <t>除尘配电室</t>
  </si>
  <si>
    <t>417-6</t>
  </si>
  <si>
    <t>除尘改造地库消防风机B1ATPE-BF1-2(备）</t>
  </si>
  <si>
    <t>{{n:L_2935}}</t>
  </si>
  <si>
    <t>{{n:R_2935}}</t>
  </si>
  <si>
    <t>A3地下一层排风机房东南侧、A3补风机房右侧汽车出入口、A3补风机房左侧、A3地下一层排风机房西北侧</t>
  </si>
  <si>
    <t>417-7</t>
  </si>
  <si>
    <t>F2AT-YL1（主）</t>
  </si>
  <si>
    <t>{{n:L_2936}}</t>
  </si>
  <si>
    <t>{{n:R_2936}}</t>
  </si>
  <si>
    <t>417-8</t>
  </si>
  <si>
    <t>F3AP2</t>
  </si>
  <si>
    <t>{{n:L_2937}}</t>
  </si>
  <si>
    <t>{{n:R_2937}}</t>
  </si>
  <si>
    <t>2AA11</t>
  </si>
  <si>
    <t>428-1</t>
  </si>
  <si>
    <t>咪咕西楼应急照明  B1-F5ALE1(主）</t>
  </si>
  <si>
    <t>{{n:L_2978}}</t>
  </si>
  <si>
    <t>{{n:R_2978}}</t>
  </si>
  <si>
    <t>除尘改造地下一层至五层</t>
  </si>
  <si>
    <t>428-2</t>
  </si>
  <si>
    <t>咪咕东楼 应急照明B1-F5ALE2(主）</t>
  </si>
  <si>
    <t>{{n:L_2979}}</t>
  </si>
  <si>
    <t>{{n:R_2979}}</t>
  </si>
  <si>
    <t>428-3</t>
  </si>
  <si>
    <t>除尘改造消防弱电分控室-消防用电B1ATE-XF(备）</t>
  </si>
  <si>
    <t>{{n:L_2980}}</t>
  </si>
  <si>
    <t>{{n:R_2980}}</t>
  </si>
  <si>
    <t>428-4</t>
  </si>
  <si>
    <t>主电室改造消防弱电总控室-消防用电F1ATE-XFZ(备）</t>
  </si>
  <si>
    <t>{{n:L_2981}}</t>
  </si>
  <si>
    <t>{{n:R_2981}}</t>
  </si>
  <si>
    <t>428-5</t>
  </si>
  <si>
    <t>除尘改造变配电所本室照明B1AT-变配电室（备）</t>
  </si>
  <si>
    <t>{{n:L_2982}}</t>
  </si>
  <si>
    <t>{{n:R_2982}}</t>
  </si>
  <si>
    <t>428-6</t>
  </si>
  <si>
    <t>除尘改造地库消防风机B1ATPE-BF1-2(主）</t>
  </si>
  <si>
    <t>{{n:L_2983}}</t>
  </si>
  <si>
    <t>{{n:R_2983}}</t>
  </si>
  <si>
    <t>428-7</t>
  </si>
  <si>
    <t>咪咕东楼 热风幕</t>
  </si>
  <si>
    <t>{{n:L_2984}}</t>
  </si>
  <si>
    <t>{{n:R_2984}}</t>
  </si>
  <si>
    <t>428-8</t>
  </si>
  <si>
    <t>二高炉泛光电源</t>
  </si>
  <si>
    <t>{{n:L_2985}}</t>
  </si>
  <si>
    <t>{{n:R_2985}}</t>
  </si>
  <si>
    <t>2AA10</t>
  </si>
  <si>
    <t>除尘改造消防弱电分控室-安防用电B1AT-AF(主）</t>
  </si>
  <si>
    <t>{{n:L_2972}}</t>
  </si>
  <si>
    <t>{{n:R_2972}}</t>
  </si>
  <si>
    <t>{{n:L_2973}}</t>
  </si>
  <si>
    <t>{{n:R_2973}}</t>
  </si>
  <si>
    <t>427-3</t>
  </si>
  <si>
    <t>除尘改造首层配套商业预留厨房事故风机F1APFB1-3(备）</t>
  </si>
  <si>
    <t>{{n:L_2974}}</t>
  </si>
  <si>
    <t>{{n:R_2974}}</t>
  </si>
  <si>
    <t>427-4</t>
  </si>
  <si>
    <t>主电室直流屏（备）</t>
  </si>
  <si>
    <t>{{n:L_2975}}</t>
  </si>
  <si>
    <t>{{n:R_2975}}</t>
  </si>
  <si>
    <t>427-5</t>
  </si>
  <si>
    <t>{{n:L_2976}}</t>
  </si>
  <si>
    <t>{{n:R_2976}}</t>
  </si>
  <si>
    <t>427-6</t>
  </si>
  <si>
    <t>{{n:L_2977}}</t>
  </si>
  <si>
    <t>{{n:R_2977}}</t>
  </si>
  <si>
    <t>除尘改造地库直流充电桩用电B1AP1-CD3</t>
  </si>
  <si>
    <t>{{n:L_2966}}</t>
  </si>
  <si>
    <t>{{n:R_2966}}</t>
  </si>
  <si>
    <t>1号雨水调蓄池</t>
  </si>
  <si>
    <t>{{n:L_2967}}</t>
  </si>
  <si>
    <t>{{n:R_2967}}</t>
  </si>
  <si>
    <t>5#楼西草坪</t>
  </si>
  <si>
    <t>除尘改造F2AT-YL2（主）</t>
  </si>
  <si>
    <t>{{n:L_2968}}</t>
  </si>
  <si>
    <t>{{n:R_2968}}</t>
  </si>
  <si>
    <t>{{n:L_2969}}</t>
  </si>
  <si>
    <t>{{n:R_2969}}</t>
  </si>
  <si>
    <t>F2AT-YL1（备）</t>
  </si>
  <si>
    <t>{{n:L_2970}}</t>
  </si>
  <si>
    <t>{{n:R_2970}}</t>
  </si>
  <si>
    <t>{{n:L_2971}}</t>
  </si>
  <si>
    <t>{{n:R_2971}}</t>
  </si>
  <si>
    <t>22#-23#电梯 F5ATP-DT1(备）</t>
  </si>
  <si>
    <t>{{n:L_2958}}</t>
  </si>
  <si>
    <t>{{n:R_2958}}</t>
  </si>
  <si>
    <t>A1五层西楼</t>
  </si>
  <si>
    <t>24#-25#电梯 WDATP-DT(主）</t>
  </si>
  <si>
    <t>{{n:L_2959}}</t>
  </si>
  <si>
    <t>{{n:R_2959}}</t>
  </si>
  <si>
    <t xml:space="preserve">A3屋顶东楼 </t>
  </si>
  <si>
    <t>除尘改造变电室事故风机B1ATP-PF1/B1ATP-BF1(备）</t>
  </si>
  <si>
    <t>{{n:L_2960}}</t>
  </si>
  <si>
    <t>{{n:R_2960}}</t>
  </si>
  <si>
    <t>除尘改造地下一层空压机B1ATPKY1-2(备）</t>
  </si>
  <si>
    <t>{{n:L_2961}}</t>
  </si>
  <si>
    <t>{{n:R_2961}}</t>
  </si>
  <si>
    <t>地库管道电伴热B1ATDBR(备）</t>
  </si>
  <si>
    <t>{{n:L_2962}}</t>
  </si>
  <si>
    <t>{{n:R_2962}}</t>
  </si>
  <si>
    <t>2号雨水调蓄池</t>
  </si>
  <si>
    <t>{{n:L_2963}}</t>
  </si>
  <si>
    <t>{{n:R_2963}}</t>
  </si>
  <si>
    <t>425-7</t>
  </si>
  <si>
    <t>B1AL-SFJF</t>
  </si>
  <si>
    <t>{{n:L_2964}}</t>
  </si>
  <si>
    <t>{{n:R_2964}}</t>
  </si>
  <si>
    <t>425-8</t>
  </si>
  <si>
    <t>{{n:L_2965}}</t>
  </si>
  <si>
    <t>{{n:R_2965}}</t>
  </si>
  <si>
    <t>除尘改造地库直流充电桩用电B1AP1-CD2</t>
  </si>
  <si>
    <t>{{n:L_2952}}</t>
  </si>
  <si>
    <t>{{n:R_2952}}</t>
  </si>
  <si>
    <t>除尘改造地库直流充电桩用电B1AP1-CD6</t>
  </si>
  <si>
    <t>{{n:L_2953}}</t>
  </si>
  <si>
    <t>{{n:R_2953}}</t>
  </si>
  <si>
    <t>除尘改造地库排水泵B1ATP-PW1-3(主）</t>
  </si>
  <si>
    <t>{{n:L_2954}}</t>
  </si>
  <si>
    <t>{{n:R_2954}}</t>
  </si>
  <si>
    <t>除尘改造东侧弱电竖井一层至五层设备预留电源（F1-F5)RD2(主）</t>
  </si>
  <si>
    <t>{{n:L_2955}}</t>
  </si>
  <si>
    <t>{{n:R_2955}}</t>
  </si>
  <si>
    <t>{{n:L_2956}}</t>
  </si>
  <si>
    <t>{{n:R_2956}}</t>
  </si>
  <si>
    <t>080地块临时电源</t>
  </si>
  <si>
    <t>{{n:L_2957}}</t>
  </si>
  <si>
    <t>{{n:R_2957}}</t>
  </si>
  <si>
    <t>咪咕东楼二 三层 F2AL2/F3AL2</t>
  </si>
  <si>
    <t>{{n:L_2946}}</t>
  </si>
  <si>
    <t>{{n:R_2946}}</t>
  </si>
  <si>
    <t>除尘改造二、三层办公用电</t>
  </si>
  <si>
    <t>104室咪咕餐厅 F1-AL商业</t>
  </si>
  <si>
    <t>{{n:L_2947}}</t>
  </si>
  <si>
    <t>{{n:R_2947}}</t>
  </si>
  <si>
    <t>除尘改造一层商业</t>
  </si>
  <si>
    <t>5#楼 2AA2</t>
  </si>
  <si>
    <t>{{n:L_2948}}</t>
  </si>
  <si>
    <t>{{n:R_2948}}</t>
  </si>
  <si>
    <t>主电室改造动力照明用电</t>
  </si>
  <si>
    <t>主电室改造高压总配F1AL-GY(主）</t>
  </si>
  <si>
    <t>{{n:L_2949}}</t>
  </si>
  <si>
    <t>{{n:R_2949}}</t>
  </si>
  <si>
    <t>{{n:L_2950}}</t>
  </si>
  <si>
    <t>{{n:R_2950}}</t>
  </si>
  <si>
    <t>{{n:L_2951}}</t>
  </si>
  <si>
    <t>{{n:R_2951}}</t>
  </si>
  <si>
    <t>咪咕东楼一层 F1AL2</t>
  </si>
  <si>
    <t>{{n:L_2940}}</t>
  </si>
  <si>
    <t>{{n:R_2940}}</t>
  </si>
  <si>
    <t>除尘改造一层商业用电</t>
  </si>
  <si>
    <t>咪咕西楼四层F4AL1</t>
  </si>
  <si>
    <t>{{n:L_2941}}</t>
  </si>
  <si>
    <t>{{n:R_2941}}</t>
  </si>
  <si>
    <t>除尘改造四、五层办公用电</t>
  </si>
  <si>
    <t>主电室改造消防弱电总控室-安防用电F1AT-AFZ(主）</t>
  </si>
  <si>
    <t>{{n:L_2942}}</t>
  </si>
  <si>
    <t>{{n:R_2942}}</t>
  </si>
  <si>
    <t>D区AP02景观照明</t>
  </si>
  <si>
    <t>{{n:L_2943}}</t>
  </si>
  <si>
    <t>{{n:R_2943}}</t>
  </si>
  <si>
    <t>9#楼 西草地</t>
  </si>
  <si>
    <t>{{n:L_2944}}</t>
  </si>
  <si>
    <t>{{n:R_2944}}</t>
  </si>
  <si>
    <t>{{n:L_2945}}</t>
  </si>
  <si>
    <t>{{n:R_2945}}</t>
  </si>
  <si>
    <t>3AA4</t>
  </si>
  <si>
    <t>备用（原原料系统料仓改造）</t>
  </si>
  <si>
    <t>{{n:L_2987}}</t>
  </si>
  <si>
    <t>{{n:R_2987}}</t>
  </si>
  <si>
    <t>原6#楼AA4</t>
  </si>
  <si>
    <t>{{n:L_2988}}</t>
  </si>
  <si>
    <t>{{n:R_2988}}</t>
  </si>
  <si>
    <t>备用（原备件库）</t>
  </si>
  <si>
    <t>{{n:L_2989}}</t>
  </si>
  <si>
    <t>{{n:R_2989}}</t>
  </si>
  <si>
    <t>原8#楼AA2</t>
  </si>
  <si>
    <t>备用（原原料仓）</t>
  </si>
  <si>
    <t>{{n:L_2990}}</t>
  </si>
  <si>
    <t>{{n:R_2990}}</t>
  </si>
  <si>
    <t xml:space="preserve"> 原7#楼AA2</t>
  </si>
  <si>
    <t>9#楼B1弱电机房 B1AT-RD(主）</t>
  </si>
  <si>
    <t>{{n:L_2991}}</t>
  </si>
  <si>
    <t>{{n:R_2991}}</t>
  </si>
  <si>
    <t>除尘改造弱电机房B1AT-RD</t>
  </si>
  <si>
    <t>主电室改造分界室用电F1AL-FJ(主）</t>
  </si>
  <si>
    <t>{{n:L_2992}}</t>
  </si>
  <si>
    <t>{{n:R_2992}}</t>
  </si>
  <si>
    <t>航宇荣康AP1</t>
  </si>
  <si>
    <t>{{n:L_2993}}</t>
  </si>
  <si>
    <t>{{n:R_2993}}</t>
  </si>
  <si>
    <t>除尘风机房</t>
  </si>
  <si>
    <t>432-5</t>
  </si>
  <si>
    <t>{{n:L_2994}}</t>
  </si>
  <si>
    <t>{{n:R_2994}}</t>
  </si>
  <si>
    <t>432-6</t>
  </si>
  <si>
    <t>本室空调室外机</t>
  </si>
  <si>
    <t>{{n:L_2995}}</t>
  </si>
  <si>
    <t>{{n:R_2995}}</t>
  </si>
  <si>
    <t>户外加压站2#电源</t>
  </si>
  <si>
    <t>{{n:L_2996}}</t>
  </si>
  <si>
    <t>{{n:R_2996}}</t>
  </si>
  <si>
    <t>除尘改造新风机组B1AP-XF1-3</t>
  </si>
  <si>
    <t>{{n:L_2997}}</t>
  </si>
  <si>
    <t>{{n:R_2997}}</t>
  </si>
  <si>
    <t>5#楼 B1 空调机房B1AP-KT</t>
  </si>
  <si>
    <t>{{n:L_2998}}</t>
  </si>
  <si>
    <t>{{n:R_2998}}</t>
  </si>
  <si>
    <t>主电室空调机房B1AP-KT</t>
  </si>
  <si>
    <t>除尘改造一层配套商业（东侧）事故风机F1APFB4-7(备）</t>
  </si>
  <si>
    <t>{{n:L_2999}}</t>
  </si>
  <si>
    <t>{{n:R_2999}}</t>
  </si>
  <si>
    <t>{{n:L_3000}}</t>
  </si>
  <si>
    <t>{{n:R_3000}}</t>
  </si>
  <si>
    <t>{{n:L_3001}}</t>
  </si>
  <si>
    <t>{{n:R_3001}}</t>
  </si>
  <si>
    <t>户外电动车充电桩</t>
  </si>
  <si>
    <t>{{n:L_3002}}</t>
  </si>
  <si>
    <t>{{n:R_3002}}</t>
  </si>
  <si>
    <t>除尘改造五层消防排烟风机F5ATPE-PY1(备）</t>
  </si>
  <si>
    <t>{{n:L_3003}}</t>
  </si>
  <si>
    <t>{{n:R_3003}}</t>
  </si>
  <si>
    <t>除尘改造屋顶消防排烟风机WDATPE-ZY1(主）</t>
  </si>
  <si>
    <t>{{n:L_3004}}</t>
  </si>
  <si>
    <t>{{n:R_3004}}</t>
  </si>
  <si>
    <t>（备用）</t>
  </si>
  <si>
    <t>{{n:L_3005}}</t>
  </si>
  <si>
    <t>{{n:R_3005}}</t>
  </si>
  <si>
    <t>电动排烟窗预留电源（备用）</t>
  </si>
  <si>
    <t>地下一层走廊消防补风机B1ATPE-BF3(备）</t>
  </si>
  <si>
    <t>{{n:L_3006}}</t>
  </si>
  <si>
    <t>{{n:R_3006}}</t>
  </si>
  <si>
    <t>咪咕204室 F2-ALE商业（备）</t>
  </si>
  <si>
    <t>{{n:L_3007}}</t>
  </si>
  <si>
    <t>{{n:R_3007}}</t>
  </si>
  <si>
    <t>除尘改造F2-ALE商业（备</t>
  </si>
  <si>
    <t xml:space="preserve">104室咪咕餐厅  F1-ALE商业（备） </t>
  </si>
  <si>
    <t>{{n:L_3009}}</t>
  </si>
  <si>
    <t>{{n:R_3009}}</t>
  </si>
  <si>
    <t>除尘改造F1-ALE商业（备）  A2</t>
  </si>
  <si>
    <t>{{n:L_3008}}</t>
  </si>
  <si>
    <t>{{n:R_3008}}</t>
  </si>
  <si>
    <t>{{n:L_3010}}</t>
  </si>
  <si>
    <t>{{n:R_3010}}</t>
  </si>
  <si>
    <t>除尘改造五层消防排烟风机F5ATPE-PY1(主）</t>
  </si>
  <si>
    <t>{{n:L_3029}}</t>
  </si>
  <si>
    <t>{{n:R_3029}}</t>
  </si>
  <si>
    <t>除尘改造屋顶消防排烟风机WDATPE-PY1(备）</t>
  </si>
  <si>
    <t>{{n:L_3030}}</t>
  </si>
  <si>
    <t>{{n:R_3030}}</t>
  </si>
  <si>
    <t>446-3</t>
  </si>
  <si>
    <t>电动排烟窗预留电源（主）</t>
  </si>
  <si>
    <t>{{n:L_3031}}</t>
  </si>
  <si>
    <t>{{n:R_3031}}</t>
  </si>
  <si>
    <t>446-4</t>
  </si>
  <si>
    <t>地下一层走廊消防补风机B1ATPE-BF3(主）</t>
  </si>
  <si>
    <t>{{n:L_3032}}</t>
  </si>
  <si>
    <t>{{n:R_3032}}</t>
  </si>
  <si>
    <t>446-5</t>
  </si>
  <si>
    <t>咪咕204室  F2-ALE办（主）</t>
  </si>
  <si>
    <t>{{n:L_3033}}</t>
  </si>
  <si>
    <t>{{n:R_3033}}</t>
  </si>
  <si>
    <t>除尘改造F2-ALE办 A4</t>
  </si>
  <si>
    <t>446-6</t>
  </si>
  <si>
    <t xml:space="preserve">104室咪咕餐厅  F1-ALE商业（主）    </t>
  </si>
  <si>
    <t>{{n:L_3034}}</t>
  </si>
  <si>
    <t>{{n:R_3034}}</t>
  </si>
  <si>
    <t>446-7</t>
  </si>
  <si>
    <t>{{n:L_3035}}</t>
  </si>
  <si>
    <t>{{n:R_3035}}</t>
  </si>
  <si>
    <t>除尘改造F1-ALE商业 A2</t>
  </si>
  <si>
    <t>446-8</t>
  </si>
  <si>
    <t>{{n:L_3036}}</t>
  </si>
  <si>
    <t>{{n:R_3036}}</t>
  </si>
  <si>
    <t>户外加压站1#电源</t>
  </si>
  <si>
    <t>{{n:L_3021}}</t>
  </si>
  <si>
    <t>{{n:R_3021}}</t>
  </si>
  <si>
    <t>除尘改造送排机组B1AP-PF1/B1AP-BF1/F5AP-PF1</t>
  </si>
  <si>
    <t>{{n:L_3022}}</t>
  </si>
  <si>
    <t>{{n:R_3022}}</t>
  </si>
  <si>
    <t>除尘改造地下一层送排机B1AP-风机1-6</t>
  </si>
  <si>
    <t>{{n:L_3023}}</t>
  </si>
  <si>
    <t>{{n:R_3023}}</t>
  </si>
  <si>
    <t>除尘改造一层配套商业（东侧）事故风机F1APFB4-7(主）</t>
  </si>
  <si>
    <t>{{n:L_3024}}</t>
  </si>
  <si>
    <t>{{n:R_3024}}</t>
  </si>
  <si>
    <t>除尘改造一层商业新风机组F1AP2(西侧）</t>
  </si>
  <si>
    <t>{{n:L_3025}}</t>
  </si>
  <si>
    <t>{{n:R_3025}}</t>
  </si>
  <si>
    <t>{{n:L_3026}}</t>
  </si>
  <si>
    <t>{{n:R_3026}}</t>
  </si>
  <si>
    <t>{{n:L_3027}}</t>
  </si>
  <si>
    <t>{{n:R_3027}}</t>
  </si>
  <si>
    <t>{{n:L_3015}}</t>
  </si>
  <si>
    <t>{{n:R_3015}}</t>
  </si>
  <si>
    <t>原AA1</t>
  </si>
  <si>
    <t>除尘改造弱电机房B1AT-RD(备）</t>
  </si>
  <si>
    <t>{{n:L_3016}}</t>
  </si>
  <si>
    <t>{{n:R_3016}}</t>
  </si>
  <si>
    <t>主电室改造分界室用电F1AL-FJ(备）</t>
  </si>
  <si>
    <t>{{n:L_3017}}</t>
  </si>
  <si>
    <t>{{n:R_3017}}</t>
  </si>
  <si>
    <t>5#楼 1/AA1</t>
  </si>
  <si>
    <t>{{n:L_3018}}</t>
  </si>
  <si>
    <t>{{n:R_3018}}</t>
  </si>
  <si>
    <t>443-5</t>
  </si>
  <si>
    <t>航宇荣康AP2</t>
  </si>
  <si>
    <t>{{n:L_3019}}</t>
  </si>
  <si>
    <t>{{n:R_3019}}</t>
  </si>
  <si>
    <t>443-6</t>
  </si>
  <si>
    <t>C区AP02景观</t>
  </si>
  <si>
    <t>{{n:L_3020}}</t>
  </si>
  <si>
    <t>{{n:R_3020}}</t>
  </si>
  <si>
    <t>5#楼东北草坪</t>
  </si>
  <si>
    <t>4AA4</t>
  </si>
  <si>
    <t>{{n:L_3012}}</t>
  </si>
  <si>
    <t>{{n:R_3012}}</t>
  </si>
  <si>
    <t>原1AA1</t>
  </si>
  <si>
    <t>{{n:L_3013}}</t>
  </si>
  <si>
    <t>{{n:R_3013}}</t>
  </si>
  <si>
    <t>{{n:L_3014}}</t>
  </si>
  <si>
    <t>{{n:R_3014}}</t>
  </si>
  <si>
    <t>楼号</t>
  </si>
  <si>
    <t>单体名称</t>
  </si>
  <si>
    <t>当月国网电量</t>
  </si>
  <si>
    <t>提升泵站（4#楼）</t>
  </si>
  <si>
    <t>制冷机房</t>
  </si>
  <si>
    <t>N4-4（1#楼）</t>
  </si>
  <si>
    <t>换热站</t>
  </si>
  <si>
    <t>除尘改造（9#楼）</t>
  </si>
  <si>
    <t>味妙</t>
  </si>
  <si>
    <t>N3-4（2#楼）</t>
  </si>
  <si>
    <t>N4-2（3#楼）</t>
  </si>
  <si>
    <t>京东超市</t>
  </si>
  <si>
    <t>主电室（5#楼）</t>
  </si>
  <si>
    <t>航宇荣康（风机房）</t>
  </si>
  <si>
    <t>晋昀楼面馆</t>
  </si>
  <si>
    <t>户外加压站</t>
  </si>
  <si>
    <t xml:space="preserve"> 景观照明</t>
  </si>
  <si>
    <t>停车场</t>
  </si>
  <si>
    <t>合计</t>
  </si>
  <si>
    <t>当月损耗率</t>
  </si>
  <si>
    <t>空置抄表电量</t>
  </si>
  <si>
    <t>实际空置电量（含损耗）</t>
  </si>
  <si>
    <t>总配</t>
  </si>
  <si>
    <t>电量</t>
  </si>
  <si>
    <t>一段</t>
  </si>
  <si>
    <t>二段</t>
  </si>
  <si>
    <t>一高炉</t>
  </si>
  <si>
    <t>国网</t>
  </si>
  <si>
    <t>变压器</t>
  </si>
  <si>
    <t>单体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</si>
</sst>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2"/>
      <color rgb="FFFF0000"/>
      <name val="宋体"/>
      <charset val="134"/>
      <scheme val="minor"/>
    </font>
    <font>
      <sz val="9"/>
      <color theme="1"/>
      <name val="宋体"/>
      <charset val="134"/>
      <scheme val="minor"/>
    </font>
    <font>
      <sz val="12"/>
      <color theme="0" tint="-0.499984740745262"/>
      <name val="宋体"/>
      <charset val="134"/>
      <scheme val="minor"/>
    </font>
    <font>
      <sz val="11"/>
      <color theme="0" tint="-0.499984740745262"/>
      <name val="宋体"/>
      <charset val="134"/>
      <scheme val="minor"/>
    </font>
    <font>
      <sz val="14"/>
      <name val="宋体"/>
      <charset val="134"/>
      <scheme val="minor"/>
    </font>
    <font>
      <sz val="14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4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0" fillId="3" borderId="13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8" fillId="0" borderId="14">
      <alignment vertical="center"/>
    </xf>
    <xf numFmtId="0" fontId="19" fillId="0" borderId="14">
      <alignment vertical="center"/>
    </xf>
    <xf numFmtId="0" fontId="20" fillId="0" borderId="15">
      <alignment vertical="center"/>
    </xf>
    <xf numFmtId="0" fontId="20" fillId="0" borderId="0">
      <alignment vertical="center"/>
    </xf>
    <xf numFmtId="0" fontId="21" fillId="4" borderId="16">
      <alignment vertical="center"/>
    </xf>
    <xf numFmtId="0" fontId="22" fillId="5" borderId="17">
      <alignment vertical="center"/>
    </xf>
    <xf numFmtId="0" fontId="23" fillId="5" borderId="16">
      <alignment vertical="center"/>
    </xf>
    <xf numFmtId="0" fontId="24" fillId="6" borderId="18">
      <alignment vertical="center"/>
    </xf>
    <xf numFmtId="0" fontId="25" fillId="0" borderId="19">
      <alignment vertical="center"/>
    </xf>
    <xf numFmtId="0" fontId="26" fillId="0" borderId="20">
      <alignment vertical="center"/>
    </xf>
    <xf numFmtId="0" fontId="27" fillId="7" borderId="0">
      <alignment vertical="center"/>
    </xf>
    <xf numFmtId="0" fontId="28" fillId="8" borderId="0">
      <alignment vertical="center"/>
    </xf>
    <xf numFmtId="0" fontId="29" fillId="9" borderId="0">
      <alignment vertical="center"/>
    </xf>
    <xf numFmtId="0" fontId="30" fillId="10" borderId="0">
      <alignment vertical="center"/>
    </xf>
    <xf numFmtId="0" fontId="31" fillId="11" borderId="0">
      <alignment vertical="center"/>
    </xf>
    <xf numFmtId="0" fontId="31" fillId="12" borderId="0">
      <alignment vertical="center"/>
    </xf>
    <xf numFmtId="0" fontId="30" fillId="13" borderId="0">
      <alignment vertical="center"/>
    </xf>
    <xf numFmtId="0" fontId="30" fillId="14" borderId="0">
      <alignment vertical="center"/>
    </xf>
    <xf numFmtId="0" fontId="31" fillId="15" borderId="0">
      <alignment vertical="center"/>
    </xf>
    <xf numFmtId="0" fontId="31" fillId="16" borderId="0">
      <alignment vertical="center"/>
    </xf>
    <xf numFmtId="0" fontId="30" fillId="17" borderId="0">
      <alignment vertical="center"/>
    </xf>
    <xf numFmtId="0" fontId="30" fillId="18" borderId="0">
      <alignment vertical="center"/>
    </xf>
    <xf numFmtId="0" fontId="31" fillId="19" borderId="0">
      <alignment vertical="center"/>
    </xf>
    <xf numFmtId="0" fontId="31" fillId="20" borderId="0">
      <alignment vertical="center"/>
    </xf>
    <xf numFmtId="0" fontId="30" fillId="21" borderId="0">
      <alignment vertical="center"/>
    </xf>
    <xf numFmtId="0" fontId="30" fillId="22" borderId="0">
      <alignment vertical="center"/>
    </xf>
    <xf numFmtId="0" fontId="31" fillId="23" borderId="0">
      <alignment vertical="center"/>
    </xf>
    <xf numFmtId="0" fontId="31" fillId="24" borderId="0">
      <alignment vertical="center"/>
    </xf>
    <xf numFmtId="0" fontId="30" fillId="25" borderId="0">
      <alignment vertical="center"/>
    </xf>
    <xf numFmtId="0" fontId="30" fillId="26" borderId="0">
      <alignment vertical="center"/>
    </xf>
    <xf numFmtId="0" fontId="31" fillId="27" borderId="0">
      <alignment vertical="center"/>
    </xf>
    <xf numFmtId="0" fontId="31" fillId="28" borderId="0">
      <alignment vertical="center"/>
    </xf>
    <xf numFmtId="0" fontId="30" fillId="29" borderId="0">
      <alignment vertical="center"/>
    </xf>
    <xf numFmtId="0" fontId="30" fillId="30" borderId="0">
      <alignment vertical="center"/>
    </xf>
    <xf numFmtId="0" fontId="31" fillId="31" borderId="0">
      <alignment vertical="center"/>
    </xf>
    <xf numFmtId="0" fontId="31" fillId="32" borderId="0">
      <alignment vertical="center"/>
    </xf>
    <xf numFmtId="0" fontId="30" fillId="33" borderId="0">
      <alignment vertical="center"/>
    </xf>
  </cellStyleXfs>
  <cellXfs count="79">
    <xf numFmtId="0" fontId="0" fillId="0" borderId="0" xfId="0" applyAlignment="1">
      <alignment vertical="center"/>
    </xf>
    <xf numFmtId="0" fontId="0" fillId="0" borderId="0" xfId="0" applyFill="1" applyAlignment="1"/>
    <xf numFmtId="0" fontId="0" fillId="0" borderId="0" xfId="0" applyFill="1" applyAlignment="1">
      <alignment horizontal="center"/>
    </xf>
    <xf numFmtId="0" fontId="0" fillId="0" borderId="0" xfId="0" applyFill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center"/>
    </xf>
    <xf numFmtId="49" fontId="1" fillId="0" borderId="2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49" fontId="1" fillId="0" borderId="3" xfId="0" applyNumberFormat="1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 wrapText="1"/>
    </xf>
    <xf numFmtId="14" fontId="1" fillId="0" borderId="3" xfId="0" applyNumberFormat="1" applyFont="1" applyFill="1" applyBorder="1" applyAlignment="1">
      <alignment horizontal="center" vertical="center" wrapText="1"/>
    </xf>
    <xf numFmtId="0" fontId="0" fillId="0" borderId="4" xfId="0" applyFill="1" applyBorder="1" applyAlignment="1"/>
    <xf numFmtId="49" fontId="3" fillId="0" borderId="3" xfId="0" applyNumberFormat="1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 wrapText="1"/>
    </xf>
    <xf numFmtId="0" fontId="0" fillId="0" borderId="5" xfId="0" applyFill="1" applyBorder="1" applyAlignment="1"/>
    <xf numFmtId="49" fontId="0" fillId="0" borderId="3" xfId="0" applyNumberFormat="1" applyFill="1" applyBorder="1" applyAlignment="1">
      <alignment horizontal="center" vertical="center"/>
    </xf>
    <xf numFmtId="49" fontId="1" fillId="0" borderId="6" xfId="0" applyNumberFormat="1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3" xfId="0" applyFill="1" applyBorder="1" applyAlignment="1">
      <alignment horizontal="center"/>
    </xf>
    <xf numFmtId="0" fontId="0" fillId="0" borderId="3" xfId="0" applyFill="1" applyBorder="1" applyAlignment="1">
      <alignment horizontal="center" wrapText="1"/>
    </xf>
    <xf numFmtId="0" fontId="0" fillId="0" borderId="3" xfId="0" applyFill="1" applyBorder="1" applyAlignment="1"/>
    <xf numFmtId="0" fontId="4" fillId="2" borderId="3" xfId="0" applyFont="1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49" fontId="7" fillId="0" borderId="3" xfId="0" applyNumberFormat="1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/>
    </xf>
    <xf numFmtId="0" fontId="9" fillId="0" borderId="0" xfId="0" applyFont="1" applyFill="1" applyAlignment="1">
      <alignment horizont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Fill="1" applyBorder="1" applyAlignment="1">
      <alignment horizontal="center" vertical="center" wrapText="1"/>
    </xf>
    <xf numFmtId="0" fontId="9" fillId="0" borderId="3" xfId="0" applyFont="1" applyFill="1" applyBorder="1" applyAlignment="1"/>
    <xf numFmtId="9" fontId="9" fillId="0" borderId="3" xfId="0" applyNumberFormat="1" applyFont="1" applyFill="1" applyBorder="1" applyAlignment="1">
      <alignment horizontal="center" vertical="center" wrapText="1"/>
    </xf>
    <xf numFmtId="0" fontId="9" fillId="0" borderId="0" xfId="0" applyFont="1" applyFill="1" applyAlignment="1"/>
    <xf numFmtId="0" fontId="9" fillId="0" borderId="0" xfId="0" applyFont="1" applyFill="1" applyBorder="1" applyAlignment="1">
      <alignment horizontal="center" vertical="center" wrapText="1"/>
    </xf>
    <xf numFmtId="0" fontId="9" fillId="0" borderId="0" xfId="0" applyFont="1" applyFill="1" applyAlignment="1">
      <alignment horizontal="center" vertical="center" wrapText="1"/>
    </xf>
    <xf numFmtId="0" fontId="9" fillId="0" borderId="0" xfId="0" applyFont="1" applyFill="1" applyBorder="1" applyAlignment="1"/>
    <xf numFmtId="0" fontId="9" fillId="0" borderId="7" xfId="0" applyFont="1" applyFill="1" applyBorder="1" applyAlignment="1">
      <alignment horizontal="center"/>
    </xf>
    <xf numFmtId="0" fontId="9" fillId="0" borderId="8" xfId="0" applyFont="1" applyFill="1" applyBorder="1" applyAlignment="1">
      <alignment horizontal="center"/>
    </xf>
    <xf numFmtId="0" fontId="9" fillId="0" borderId="9" xfId="0" applyFont="1" applyFill="1" applyBorder="1" applyAlignment="1">
      <alignment horizontal="center"/>
    </xf>
    <xf numFmtId="0" fontId="9" fillId="0" borderId="6" xfId="0" applyFont="1" applyFill="1" applyBorder="1" applyAlignment="1">
      <alignment horizontal="center"/>
    </xf>
    <xf numFmtId="0" fontId="9" fillId="0" borderId="3" xfId="0" applyFont="1" applyFill="1" applyBorder="1" applyAlignment="1">
      <alignment horizontal="center"/>
    </xf>
    <xf numFmtId="0" fontId="9" fillId="0" borderId="6" xfId="0" applyFont="1" applyFill="1" applyBorder="1" applyAlignment="1">
      <alignment horizontal="center" vertical="center" wrapText="1"/>
    </xf>
    <xf numFmtId="0" fontId="9" fillId="0" borderId="0" xfId="0" applyFont="1" applyFill="1" applyAlignment="1">
      <alignment horizontal="center"/>
    </xf>
    <xf numFmtId="0" fontId="9" fillId="0" borderId="0" xfId="0" applyFont="1" applyFill="1" applyAlignment="1"/>
    <xf numFmtId="0" fontId="10" fillId="0" borderId="7" xfId="0" applyFont="1" applyFill="1" applyBorder="1" applyAlignment="1">
      <alignment horizontal="center"/>
    </xf>
    <xf numFmtId="0" fontId="10" fillId="0" borderId="8" xfId="0" applyFont="1" applyFill="1" applyBorder="1" applyAlignment="1">
      <alignment horizontal="center"/>
    </xf>
    <xf numFmtId="0" fontId="10" fillId="0" borderId="9" xfId="0" applyFont="1" applyFill="1" applyBorder="1" applyAlignment="1">
      <alignment horizontal="center"/>
    </xf>
    <xf numFmtId="0" fontId="10" fillId="0" borderId="0" xfId="0" applyFont="1" applyFill="1" applyAlignment="1">
      <alignment horizontal="center"/>
    </xf>
    <xf numFmtId="0" fontId="10" fillId="0" borderId="3" xfId="0" applyFont="1" applyFill="1" applyBorder="1" applyAlignment="1">
      <alignment horizontal="center"/>
    </xf>
    <xf numFmtId="0" fontId="10" fillId="0" borderId="6" xfId="0" applyFont="1" applyFill="1" applyBorder="1" applyAlignment="1">
      <alignment horizontal="center"/>
    </xf>
    <xf numFmtId="0" fontId="10" fillId="0" borderId="3" xfId="0" applyFont="1" applyFill="1" applyBorder="1" applyAlignment="1">
      <alignment horizontal="center"/>
    </xf>
    <xf numFmtId="0" fontId="10" fillId="0" borderId="6" xfId="0" applyFont="1" applyFill="1" applyBorder="1" applyAlignment="1">
      <alignment horizontal="center" vertical="center" wrapText="1"/>
    </xf>
    <xf numFmtId="0" fontId="10" fillId="0" borderId="0" xfId="0" applyFont="1" applyFill="1" applyAlignment="1">
      <alignment horizontal="center"/>
    </xf>
    <xf numFmtId="0" fontId="10" fillId="0" borderId="0" xfId="0" applyFont="1" applyFill="1" applyAlignment="1"/>
    <xf numFmtId="0" fontId="10" fillId="0" borderId="0" xfId="0" applyFont="1" applyFill="1" applyAlignment="1">
      <alignment horizontal="center" vertical="center" wrapText="1"/>
    </xf>
    <xf numFmtId="0" fontId="10" fillId="0" borderId="10" xfId="0" applyFont="1" applyFill="1" applyBorder="1" applyAlignment="1">
      <alignment horizontal="center" textRotation="255"/>
    </xf>
    <xf numFmtId="0" fontId="10" fillId="0" borderId="3" xfId="0" applyFont="1" applyFill="1" applyBorder="1" applyAlignment="1"/>
    <xf numFmtId="0" fontId="10" fillId="0" borderId="3" xfId="0" applyFont="1" applyFill="1" applyBorder="1" applyAlignment="1">
      <alignment horizontal="center" vertical="center" wrapText="1"/>
    </xf>
    <xf numFmtId="0" fontId="10" fillId="0" borderId="4" xfId="0" applyFont="1" applyFill="1" applyBorder="1" applyAlignment="1">
      <alignment horizontal="center" textRotation="255"/>
    </xf>
    <xf numFmtId="0" fontId="10" fillId="0" borderId="5" xfId="0" applyFont="1" applyFill="1" applyBorder="1" applyAlignment="1">
      <alignment horizontal="center" textRotation="255"/>
    </xf>
    <xf numFmtId="0" fontId="10" fillId="0" borderId="4" xfId="0" applyFont="1" applyFill="1" applyBorder="1" applyAlignment="1">
      <alignment horizontal="center" textRotation="255"/>
    </xf>
    <xf numFmtId="0" fontId="10" fillId="0" borderId="3" xfId="0" applyFont="1" applyFill="1" applyBorder="1" applyAlignment="1"/>
    <xf numFmtId="0" fontId="10" fillId="0" borderId="5" xfId="0" applyFont="1" applyFill="1" applyBorder="1" applyAlignment="1">
      <alignment vertical="center"/>
    </xf>
    <xf numFmtId="0" fontId="11" fillId="0" borderId="0" xfId="0" applyFont="1" applyFill="1" applyAlignment="1">
      <alignment horizontal="center"/>
    </xf>
    <xf numFmtId="0" fontId="11" fillId="0" borderId="0" xfId="0" applyFont="1" applyFill="1" applyAlignment="1"/>
    <xf numFmtId="0" fontId="11" fillId="0" borderId="0" xfId="0" applyFont="1" applyFill="1" applyAlignment="1">
      <alignment horizontal="center" vertical="center" wrapText="1"/>
    </xf>
    <xf numFmtId="0" fontId="9" fillId="0" borderId="11" xfId="0" applyFont="1" applyFill="1" applyBorder="1" applyAlignment="1">
      <alignment horizontal="center"/>
    </xf>
    <xf numFmtId="0" fontId="9" fillId="0" borderId="12" xfId="0" applyFont="1" applyFill="1" applyBorder="1" applyAlignment="1">
      <alignment horizontal="center"/>
    </xf>
    <xf numFmtId="0" fontId="10" fillId="0" borderId="11" xfId="0" applyFont="1" applyFill="1" applyBorder="1" applyAlignment="1">
      <alignment horizontal="center"/>
    </xf>
    <xf numFmtId="0" fontId="10" fillId="0" borderId="12" xfId="0" applyFont="1" applyFill="1" applyBorder="1" applyAlignment="1">
      <alignment horizontal="center"/>
    </xf>
    <xf numFmtId="0" fontId="12" fillId="0" borderId="5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354"/>
  <sheetViews>
    <sheetView tabSelected="1" workbookViewId="0">
      <selection activeCell="A1" sqref="A1:H1"/>
    </sheetView>
  </sheetViews>
  <sheetFormatPr defaultColWidth="9" defaultRowHeight="16.8"/>
  <cols>
    <col min="1" max="1" width="7.61538461538461" style="2" customWidth="1"/>
    <col min="2" max="2" width="10.5" style="1" customWidth="1"/>
    <col min="3" max="3" width="42.875" style="3" customWidth="1"/>
    <col min="4" max="6" width="15.5" style="3" customWidth="1"/>
    <col min="7" max="7" width="15.8557692307692" style="3" customWidth="1"/>
    <col min="8" max="8" width="39.3846153846154" style="3" customWidth="1"/>
    <col min="9" max="9" width="25.1923076923077" style="1" customWidth="1"/>
    <col min="10" max="10" width="44.2307692307692" style="1" customWidth="1"/>
    <col min="11" max="11" width="13" style="1" customWidth="1"/>
    <col min="12" max="12" width="12.375" style="1" customWidth="1"/>
    <col min="13" max="16381" width="9" style="1" customWidth="1"/>
    <col min="16382" max="16384" width="9" style="1"/>
  </cols>
  <sheetData>
    <row r="1" s="1" customFormat="1" ht="17.6" customHeight="1" spans="1:8">
      <c r="A1" s="4" t="s">
        <v>0</v>
      </c>
      <c r="B1" s="5"/>
      <c r="C1" s="5"/>
      <c r="D1" s="5"/>
      <c r="E1" s="5"/>
      <c r="F1" s="5"/>
      <c r="G1" s="5"/>
      <c r="H1" s="17"/>
    </row>
    <row r="2" s="1" customFormat="1" ht="17.6" customHeight="1" spans="1:8">
      <c r="A2" s="6" t="s">
        <v>1</v>
      </c>
      <c r="B2" s="7"/>
      <c r="C2" s="7"/>
      <c r="D2" s="7"/>
      <c r="E2" s="7"/>
      <c r="F2" s="7"/>
      <c r="G2" s="7"/>
      <c r="H2" s="18"/>
    </row>
    <row r="3" s="1" customFormat="1" ht="22" customHeight="1" spans="1:8">
      <c r="A3" s="8" t="s">
        <v>2</v>
      </c>
      <c r="B3" s="9" t="s">
        <v>3</v>
      </c>
      <c r="C3" s="10" t="s">
        <v>4</v>
      </c>
      <c r="D3" s="11" t="s">
        <v>5</v>
      </c>
      <c r="E3" s="11" t="s">
        <v>6</v>
      </c>
      <c r="F3" s="10" t="s">
        <v>7</v>
      </c>
      <c r="G3" s="10" t="s">
        <v>8</v>
      </c>
      <c r="H3" s="19" t="s">
        <v>9</v>
      </c>
    </row>
    <row r="4" s="1" customFormat="1" ht="17.6" customHeight="1" spans="1:8">
      <c r="A4" s="8"/>
      <c r="B4" s="9" t="s">
        <v>10</v>
      </c>
      <c r="C4" s="10"/>
      <c r="D4" s="10"/>
      <c r="E4" s="10"/>
      <c r="F4" s="10"/>
      <c r="G4" s="10"/>
      <c r="H4" s="19"/>
    </row>
    <row r="5" s="1" customFormat="1" ht="18" customHeight="1" spans="1:8">
      <c r="A5" s="8" t="s">
        <v>11</v>
      </c>
      <c r="B5" s="9" t="s">
        <v>12</v>
      </c>
      <c r="C5" s="10" t="s">
        <v>13</v>
      </c>
      <c r="D5" s="10" t="s">
        <v>14</v>
      </c>
      <c r="E5" s="10" t="s">
        <v>15</v>
      </c>
      <c r="F5" s="10" t="e">
        <f>E5-D5</f>
        <v>#VALUE!</v>
      </c>
      <c r="G5" s="10"/>
      <c r="H5" s="20" t="s">
        <v>16</v>
      </c>
    </row>
    <row r="6" s="1" customFormat="1" ht="18" customHeight="1" spans="1:8">
      <c r="A6" s="12"/>
      <c r="B6" s="13" t="s">
        <v>17</v>
      </c>
      <c r="C6" s="14" t="s">
        <v>18</v>
      </c>
      <c r="D6" s="10" t="s">
        <v>19</v>
      </c>
      <c r="E6" s="10" t="s">
        <v>20</v>
      </c>
      <c r="F6" s="10" t="e">
        <f>E6-D6</f>
        <v>#VALUE!</v>
      </c>
      <c r="G6" s="10"/>
      <c r="H6" s="21" t="s">
        <v>21</v>
      </c>
    </row>
    <row r="7" s="1" customFormat="1" ht="18" customHeight="1" spans="1:8">
      <c r="A7" s="12"/>
      <c r="B7" s="9" t="s">
        <v>22</v>
      </c>
      <c r="C7" s="10" t="s">
        <v>23</v>
      </c>
      <c r="D7" s="10" t="s">
        <v>24</v>
      </c>
      <c r="E7" s="10" t="s">
        <v>25</v>
      </c>
      <c r="F7" s="10" t="e">
        <f t="shared" ref="F7:F41" si="0">E7-D7</f>
        <v>#VALUE!</v>
      </c>
      <c r="G7" s="10"/>
      <c r="H7" s="20" t="s">
        <v>26</v>
      </c>
    </row>
    <row r="8" s="1" customFormat="1" ht="18" customHeight="1" spans="1:9">
      <c r="A8" s="12"/>
      <c r="B8" s="13" t="s">
        <v>27</v>
      </c>
      <c r="C8" s="10" t="s">
        <v>28</v>
      </c>
      <c r="D8" s="10" t="s">
        <v>29</v>
      </c>
      <c r="E8" s="10" t="s">
        <v>30</v>
      </c>
      <c r="F8" s="10" t="e">
        <f t="shared" si="0"/>
        <v>#VALUE!</v>
      </c>
      <c r="G8" s="10"/>
      <c r="H8" s="20" t="s">
        <v>31</v>
      </c>
      <c r="I8" s="1" t="e">
        <f>E8+E50+E177+E203+E239</f>
        <v>#VALUE!</v>
      </c>
    </row>
    <row r="9" s="1" customFormat="1" ht="18" customHeight="1" spans="1:8">
      <c r="A9" s="12"/>
      <c r="B9" s="9" t="s">
        <v>32</v>
      </c>
      <c r="C9" s="10" t="s">
        <v>33</v>
      </c>
      <c r="D9" s="10" t="s">
        <v>34</v>
      </c>
      <c r="E9" s="10" t="s">
        <v>35</v>
      </c>
      <c r="F9" s="10" t="e">
        <f t="shared" si="0"/>
        <v>#VALUE!</v>
      </c>
      <c r="G9" s="10"/>
      <c r="H9" s="20" t="s">
        <v>36</v>
      </c>
    </row>
    <row r="10" s="1" customFormat="1" ht="18" customHeight="1" spans="1:8">
      <c r="A10" s="15"/>
      <c r="B10" s="9" t="s">
        <v>37</v>
      </c>
      <c r="C10" s="10" t="s">
        <v>38</v>
      </c>
      <c r="D10" s="10" t="s">
        <v>39</v>
      </c>
      <c r="E10" s="10" t="s">
        <v>40</v>
      </c>
      <c r="F10" s="10" t="e">
        <f t="shared" si="0"/>
        <v>#VALUE!</v>
      </c>
      <c r="G10" s="10"/>
      <c r="H10" s="20" t="s">
        <v>41</v>
      </c>
    </row>
    <row r="11" s="1" customFormat="1" ht="18" customHeight="1" spans="1:8">
      <c r="A11" s="8" t="s">
        <v>42</v>
      </c>
      <c r="B11" s="9" t="s">
        <v>43</v>
      </c>
      <c r="C11" s="10" t="s">
        <v>44</v>
      </c>
      <c r="D11" s="10" t="s">
        <v>45</v>
      </c>
      <c r="E11" s="10" t="s">
        <v>46</v>
      </c>
      <c r="F11" s="10" t="e">
        <f t="shared" si="0"/>
        <v>#VALUE!</v>
      </c>
      <c r="G11" s="10"/>
      <c r="H11" s="20" t="s">
        <v>47</v>
      </c>
    </row>
    <row r="12" s="1" customFormat="1" ht="18" customHeight="1" spans="1:8">
      <c r="A12" s="12"/>
      <c r="B12" s="9" t="s">
        <v>48</v>
      </c>
      <c r="C12" s="10" t="s">
        <v>49</v>
      </c>
      <c r="D12" s="10" t="s">
        <v>50</v>
      </c>
      <c r="E12" s="10" t="s">
        <v>51</v>
      </c>
      <c r="F12" s="10" t="e">
        <f t="shared" si="0"/>
        <v>#VALUE!</v>
      </c>
      <c r="G12" s="10"/>
      <c r="H12" s="20" t="s">
        <v>52</v>
      </c>
    </row>
    <row r="13" s="1" customFormat="1" ht="36" customHeight="1" spans="1:8">
      <c r="A13" s="12"/>
      <c r="B13" s="9" t="s">
        <v>53</v>
      </c>
      <c r="C13" s="10" t="s">
        <v>54</v>
      </c>
      <c r="D13" s="10" t="s">
        <v>55</v>
      </c>
      <c r="E13" s="10" t="s">
        <v>56</v>
      </c>
      <c r="F13" s="10" t="e">
        <f t="shared" si="0"/>
        <v>#VALUE!</v>
      </c>
      <c r="G13" s="10"/>
      <c r="H13" s="20" t="s">
        <v>57</v>
      </c>
    </row>
    <row r="14" s="1" customFormat="1" ht="18" customHeight="1" spans="1:8">
      <c r="A14" s="12"/>
      <c r="B14" s="9" t="s">
        <v>58</v>
      </c>
      <c r="C14" s="10" t="s">
        <v>59</v>
      </c>
      <c r="D14" s="10" t="s">
        <v>60</v>
      </c>
      <c r="E14" s="10" t="s">
        <v>61</v>
      </c>
      <c r="F14" s="10" t="e">
        <f t="shared" si="0"/>
        <v>#VALUE!</v>
      </c>
      <c r="G14" s="10"/>
      <c r="H14" s="20" t="s">
        <v>62</v>
      </c>
    </row>
    <row r="15" s="1" customFormat="1" ht="18" customHeight="1" spans="1:8">
      <c r="A15" s="12"/>
      <c r="B15" s="9" t="s">
        <v>63</v>
      </c>
      <c r="C15" s="10" t="s">
        <v>64</v>
      </c>
      <c r="D15" s="10" t="s">
        <v>65</v>
      </c>
      <c r="E15" s="10" t="s">
        <v>66</v>
      </c>
      <c r="F15" s="10" t="e">
        <f t="shared" si="0"/>
        <v>#VALUE!</v>
      </c>
      <c r="G15" s="10"/>
      <c r="H15" s="20" t="s">
        <v>67</v>
      </c>
    </row>
    <row r="16" s="1" customFormat="1" ht="18" customHeight="1" spans="1:8">
      <c r="A16" s="12"/>
      <c r="B16" s="9" t="s">
        <v>68</v>
      </c>
      <c r="C16" s="10" t="s">
        <v>69</v>
      </c>
      <c r="D16" s="10" t="s">
        <v>70</v>
      </c>
      <c r="E16" s="10" t="s">
        <v>71</v>
      </c>
      <c r="F16" s="10" t="e">
        <f t="shared" si="0"/>
        <v>#VALUE!</v>
      </c>
      <c r="G16" s="10"/>
      <c r="H16" s="20" t="s">
        <v>72</v>
      </c>
    </row>
    <row r="17" s="1" customFormat="1" ht="18" customHeight="1" spans="1:8">
      <c r="A17" s="12"/>
      <c r="B17" s="9" t="s">
        <v>73</v>
      </c>
      <c r="C17" s="14" t="s">
        <v>74</v>
      </c>
      <c r="D17" s="10" t="s">
        <v>75</v>
      </c>
      <c r="E17" s="10" t="s">
        <v>76</v>
      </c>
      <c r="F17" s="10" t="e">
        <f t="shared" si="0"/>
        <v>#VALUE!</v>
      </c>
      <c r="G17" s="10"/>
      <c r="H17" s="20" t="s">
        <v>41</v>
      </c>
    </row>
    <row r="18" s="1" customFormat="1" ht="18" customHeight="1" spans="1:8">
      <c r="A18" s="15"/>
      <c r="B18" s="9" t="s">
        <v>77</v>
      </c>
      <c r="C18" s="10" t="s">
        <v>78</v>
      </c>
      <c r="D18" s="10" t="s">
        <v>79</v>
      </c>
      <c r="E18" s="10" t="s">
        <v>80</v>
      </c>
      <c r="F18" s="10" t="e">
        <f t="shared" si="0"/>
        <v>#VALUE!</v>
      </c>
      <c r="G18" s="10" t="s">
        <v>81</v>
      </c>
      <c r="H18" s="20">
        <v>160</v>
      </c>
    </row>
    <row r="19" s="1" customFormat="1" ht="36" customHeight="1" spans="1:8">
      <c r="A19" s="8" t="s">
        <v>82</v>
      </c>
      <c r="B19" s="9" t="s">
        <v>83</v>
      </c>
      <c r="C19" s="10" t="s">
        <v>84</v>
      </c>
      <c r="D19" s="10" t="s">
        <v>85</v>
      </c>
      <c r="E19" s="10" t="s">
        <v>86</v>
      </c>
      <c r="F19" s="10" t="e">
        <f t="shared" si="0"/>
        <v>#VALUE!</v>
      </c>
      <c r="G19" s="10"/>
      <c r="H19" s="21" t="s">
        <v>87</v>
      </c>
    </row>
    <row r="20" s="1" customFormat="1" ht="36" customHeight="1" spans="1:8">
      <c r="A20" s="12"/>
      <c r="B20" s="9" t="s">
        <v>88</v>
      </c>
      <c r="C20" s="10" t="s">
        <v>89</v>
      </c>
      <c r="D20" s="10" t="s">
        <v>90</v>
      </c>
      <c r="E20" s="10" t="s">
        <v>91</v>
      </c>
      <c r="F20" s="10" t="e">
        <f t="shared" si="0"/>
        <v>#VALUE!</v>
      </c>
      <c r="G20" s="10"/>
      <c r="H20" s="20" t="s">
        <v>92</v>
      </c>
    </row>
    <row r="21" s="1" customFormat="1" ht="36" customHeight="1" spans="1:8">
      <c r="A21" s="12"/>
      <c r="B21" s="9" t="s">
        <v>93</v>
      </c>
      <c r="C21" s="10" t="s">
        <v>94</v>
      </c>
      <c r="D21" s="10" t="s">
        <v>95</v>
      </c>
      <c r="E21" s="10" t="s">
        <v>96</v>
      </c>
      <c r="F21" s="10" t="e">
        <f t="shared" si="0"/>
        <v>#VALUE!</v>
      </c>
      <c r="G21" s="10"/>
      <c r="H21" s="20" t="s">
        <v>97</v>
      </c>
    </row>
    <row r="22" s="1" customFormat="1" ht="18" customHeight="1" spans="1:8">
      <c r="A22" s="12"/>
      <c r="B22" s="9" t="s">
        <v>98</v>
      </c>
      <c r="C22" s="10" t="s">
        <v>99</v>
      </c>
      <c r="D22" s="10" t="s">
        <v>100</v>
      </c>
      <c r="E22" s="10" t="s">
        <v>101</v>
      </c>
      <c r="F22" s="10" t="e">
        <f t="shared" si="0"/>
        <v>#VALUE!</v>
      </c>
      <c r="G22" s="10"/>
      <c r="H22" s="20" t="s">
        <v>102</v>
      </c>
    </row>
    <row r="23" s="1" customFormat="1" ht="18" customHeight="1" spans="1:8">
      <c r="A23" s="12"/>
      <c r="B23" s="9" t="s">
        <v>103</v>
      </c>
      <c r="C23" s="10" t="s">
        <v>104</v>
      </c>
      <c r="D23" s="10" t="s">
        <v>105</v>
      </c>
      <c r="E23" s="10" t="s">
        <v>106</v>
      </c>
      <c r="F23" s="10" t="e">
        <f t="shared" si="0"/>
        <v>#VALUE!</v>
      </c>
      <c r="G23" s="10"/>
      <c r="H23" s="20" t="s">
        <v>107</v>
      </c>
    </row>
    <row r="24" s="1" customFormat="1" ht="36" customHeight="1" spans="1:8">
      <c r="A24" s="12"/>
      <c r="B24" s="9" t="s">
        <v>108</v>
      </c>
      <c r="C24" s="10" t="s">
        <v>109</v>
      </c>
      <c r="D24" s="10" t="s">
        <v>110</v>
      </c>
      <c r="E24" s="10" t="s">
        <v>111</v>
      </c>
      <c r="F24" s="10" t="e">
        <f t="shared" si="0"/>
        <v>#VALUE!</v>
      </c>
      <c r="G24" s="10"/>
      <c r="H24" s="20" t="s">
        <v>112</v>
      </c>
    </row>
    <row r="25" s="1" customFormat="1" ht="18" customHeight="1" spans="1:8">
      <c r="A25" s="12"/>
      <c r="B25" s="9" t="s">
        <v>113</v>
      </c>
      <c r="C25" s="10" t="s">
        <v>78</v>
      </c>
      <c r="D25" s="10" t="s">
        <v>114</v>
      </c>
      <c r="E25" s="10" t="s">
        <v>115</v>
      </c>
      <c r="F25" s="10" t="e">
        <f t="shared" si="0"/>
        <v>#VALUE!</v>
      </c>
      <c r="G25" s="10" t="s">
        <v>81</v>
      </c>
      <c r="H25" s="20">
        <v>100</v>
      </c>
    </row>
    <row r="26" s="1" customFormat="1" ht="18" customHeight="1" spans="1:8">
      <c r="A26" s="15"/>
      <c r="B26" s="9" t="s">
        <v>116</v>
      </c>
      <c r="C26" s="10" t="s">
        <v>78</v>
      </c>
      <c r="D26" s="10" t="s">
        <v>117</v>
      </c>
      <c r="E26" s="10" t="s">
        <v>118</v>
      </c>
      <c r="F26" s="10" t="e">
        <f t="shared" si="0"/>
        <v>#VALUE!</v>
      </c>
      <c r="G26" s="10" t="s">
        <v>81</v>
      </c>
      <c r="H26" s="20">
        <v>160</v>
      </c>
    </row>
    <row r="27" s="1" customFormat="1" ht="36" customHeight="1" spans="1:8">
      <c r="A27" s="8" t="s">
        <v>119</v>
      </c>
      <c r="B27" s="9" t="s">
        <v>120</v>
      </c>
      <c r="C27" s="10" t="s">
        <v>121</v>
      </c>
      <c r="D27" s="10" t="s">
        <v>122</v>
      </c>
      <c r="E27" s="10" t="s">
        <v>123</v>
      </c>
      <c r="F27" s="10" t="e">
        <f t="shared" si="0"/>
        <v>#VALUE!</v>
      </c>
      <c r="G27" s="10"/>
      <c r="H27" s="20" t="s">
        <v>124</v>
      </c>
    </row>
    <row r="28" s="1" customFormat="1" ht="36" customHeight="1" spans="1:8">
      <c r="A28" s="12"/>
      <c r="B28" s="9" t="s">
        <v>125</v>
      </c>
      <c r="C28" s="10" t="s">
        <v>126</v>
      </c>
      <c r="D28" s="10" t="s">
        <v>127</v>
      </c>
      <c r="E28" s="10" t="s">
        <v>128</v>
      </c>
      <c r="F28" s="10" t="e">
        <f t="shared" si="0"/>
        <v>#VALUE!</v>
      </c>
      <c r="G28" s="10"/>
      <c r="H28" s="20" t="s">
        <v>129</v>
      </c>
    </row>
    <row r="29" s="1" customFormat="1" ht="18" customHeight="1" spans="1:8">
      <c r="A29" s="12"/>
      <c r="B29" s="9" t="s">
        <v>130</v>
      </c>
      <c r="C29" s="10" t="s">
        <v>131</v>
      </c>
      <c r="D29" s="10" t="s">
        <v>132</v>
      </c>
      <c r="E29" s="10" t="s">
        <v>133</v>
      </c>
      <c r="F29" s="10" t="e">
        <f t="shared" si="0"/>
        <v>#VALUE!</v>
      </c>
      <c r="G29" s="10"/>
      <c r="H29" s="20" t="s">
        <v>134</v>
      </c>
    </row>
    <row r="30" s="1" customFormat="1" ht="18" customHeight="1" spans="1:8">
      <c r="A30" s="12"/>
      <c r="B30" s="9" t="s">
        <v>135</v>
      </c>
      <c r="C30" s="10" t="s">
        <v>78</v>
      </c>
      <c r="D30" s="10" t="s">
        <v>136</v>
      </c>
      <c r="E30" s="10" t="s">
        <v>137</v>
      </c>
      <c r="F30" s="10" t="e">
        <f t="shared" si="0"/>
        <v>#VALUE!</v>
      </c>
      <c r="G30" s="10" t="s">
        <v>81</v>
      </c>
      <c r="H30" s="20" t="s">
        <v>138</v>
      </c>
    </row>
    <row r="31" s="1" customFormat="1" ht="18" customHeight="1" spans="1:8">
      <c r="A31" s="12"/>
      <c r="B31" s="9" t="s">
        <v>139</v>
      </c>
      <c r="C31" s="10" t="s">
        <v>140</v>
      </c>
      <c r="D31" s="10" t="s">
        <v>141</v>
      </c>
      <c r="E31" s="10" t="s">
        <v>142</v>
      </c>
      <c r="F31" s="10" t="e">
        <f t="shared" si="0"/>
        <v>#VALUE!</v>
      </c>
      <c r="G31" s="10"/>
      <c r="H31" s="20" t="s">
        <v>143</v>
      </c>
    </row>
    <row r="32" s="1" customFormat="1" ht="18" customHeight="1" spans="1:8">
      <c r="A32" s="15"/>
      <c r="B32" s="9" t="s">
        <v>144</v>
      </c>
      <c r="C32" s="10" t="s">
        <v>78</v>
      </c>
      <c r="D32" s="10" t="s">
        <v>145</v>
      </c>
      <c r="E32" s="10" t="s">
        <v>146</v>
      </c>
      <c r="F32" s="10" t="e">
        <f t="shared" si="0"/>
        <v>#VALUE!</v>
      </c>
      <c r="G32" s="10" t="s">
        <v>81</v>
      </c>
      <c r="H32" s="20">
        <v>630</v>
      </c>
    </row>
    <row r="33" s="1" customFormat="1" ht="18" customHeight="1" spans="1:8">
      <c r="A33" s="8" t="s">
        <v>147</v>
      </c>
      <c r="B33" s="9" t="s">
        <v>148</v>
      </c>
      <c r="C33" s="10" t="s">
        <v>149</v>
      </c>
      <c r="D33" s="10" t="s">
        <v>150</v>
      </c>
      <c r="E33" s="10" t="s">
        <v>151</v>
      </c>
      <c r="F33" s="10" t="e">
        <f t="shared" si="0"/>
        <v>#VALUE!</v>
      </c>
      <c r="G33" s="10"/>
      <c r="H33" s="20" t="s">
        <v>152</v>
      </c>
    </row>
    <row r="34" s="1" customFormat="1" ht="18" customHeight="1" spans="1:8">
      <c r="A34" s="12"/>
      <c r="B34" s="9" t="s">
        <v>153</v>
      </c>
      <c r="C34" s="10" t="s">
        <v>154</v>
      </c>
      <c r="D34" s="10" t="s">
        <v>155</v>
      </c>
      <c r="E34" s="10" t="s">
        <v>156</v>
      </c>
      <c r="F34" s="10" t="e">
        <f t="shared" si="0"/>
        <v>#VALUE!</v>
      </c>
      <c r="G34" s="10"/>
      <c r="H34" s="20" t="s">
        <v>157</v>
      </c>
    </row>
    <row r="35" s="1" customFormat="1" ht="36" customHeight="1" spans="1:8">
      <c r="A35" s="12"/>
      <c r="B35" s="9" t="s">
        <v>158</v>
      </c>
      <c r="C35" s="10" t="s">
        <v>159</v>
      </c>
      <c r="D35" s="10" t="s">
        <v>160</v>
      </c>
      <c r="E35" s="10" t="s">
        <v>161</v>
      </c>
      <c r="F35" s="10" t="e">
        <f t="shared" si="0"/>
        <v>#VALUE!</v>
      </c>
      <c r="G35" s="10"/>
      <c r="H35" s="20" t="s">
        <v>162</v>
      </c>
    </row>
    <row r="36" s="1" customFormat="1" ht="34" customHeight="1" spans="1:8">
      <c r="A36" s="12"/>
      <c r="B36" s="9" t="s">
        <v>163</v>
      </c>
      <c r="C36" s="10" t="s">
        <v>164</v>
      </c>
      <c r="D36" s="10" t="s">
        <v>165</v>
      </c>
      <c r="E36" s="10" t="s">
        <v>166</v>
      </c>
      <c r="F36" s="10" t="e">
        <f t="shared" si="0"/>
        <v>#VALUE!</v>
      </c>
      <c r="G36" s="10" t="s">
        <v>167</v>
      </c>
      <c r="H36" s="21" t="s">
        <v>168</v>
      </c>
    </row>
    <row r="37" s="1" customFormat="1" ht="36" customHeight="1" spans="1:8">
      <c r="A37" s="12"/>
      <c r="B37" s="9" t="s">
        <v>169</v>
      </c>
      <c r="C37" s="10" t="s">
        <v>170</v>
      </c>
      <c r="D37" s="10" t="s">
        <v>171</v>
      </c>
      <c r="E37" s="10" t="s">
        <v>172</v>
      </c>
      <c r="F37" s="10" t="e">
        <f t="shared" si="0"/>
        <v>#VALUE!</v>
      </c>
      <c r="G37" s="10"/>
      <c r="H37" s="20" t="s">
        <v>173</v>
      </c>
    </row>
    <row r="38" s="1" customFormat="1" ht="18" customHeight="1" spans="1:8">
      <c r="A38" s="12"/>
      <c r="B38" s="9" t="s">
        <v>174</v>
      </c>
      <c r="C38" s="10" t="s">
        <v>175</v>
      </c>
      <c r="D38" s="10" t="s">
        <v>176</v>
      </c>
      <c r="E38" s="10" t="s">
        <v>177</v>
      </c>
      <c r="F38" s="10" t="e">
        <f t="shared" si="0"/>
        <v>#VALUE!</v>
      </c>
      <c r="G38" s="10"/>
      <c r="H38" s="20">
        <v>250</v>
      </c>
    </row>
    <row r="39" s="1" customFormat="1" ht="18" customHeight="1" spans="1:8">
      <c r="A39" s="15"/>
      <c r="B39" s="9" t="s">
        <v>178</v>
      </c>
      <c r="C39" s="10" t="s">
        <v>78</v>
      </c>
      <c r="D39" s="10" t="s">
        <v>179</v>
      </c>
      <c r="E39" s="10" t="s">
        <v>180</v>
      </c>
      <c r="F39" s="10" t="e">
        <f t="shared" si="0"/>
        <v>#VALUE!</v>
      </c>
      <c r="G39" s="10" t="s">
        <v>81</v>
      </c>
      <c r="H39" s="20">
        <v>160</v>
      </c>
    </row>
    <row r="40" s="1" customFormat="1" ht="18" customHeight="1" spans="1:8">
      <c r="A40" s="8" t="s">
        <v>181</v>
      </c>
      <c r="B40" s="16" t="s">
        <v>182</v>
      </c>
      <c r="C40" s="10" t="s">
        <v>183</v>
      </c>
      <c r="D40" s="10" t="s">
        <v>184</v>
      </c>
      <c r="E40" s="10" t="s">
        <v>185</v>
      </c>
      <c r="F40" s="10" t="e">
        <f t="shared" si="0"/>
        <v>#VALUE!</v>
      </c>
      <c r="G40" s="10"/>
      <c r="H40" s="20" t="s">
        <v>186</v>
      </c>
    </row>
    <row r="41" s="1" customFormat="1" ht="18" customHeight="1" spans="1:8">
      <c r="A41" s="15"/>
      <c r="B41" s="16" t="s">
        <v>187</v>
      </c>
      <c r="C41" s="10" t="s">
        <v>78</v>
      </c>
      <c r="D41" s="10" t="s">
        <v>188</v>
      </c>
      <c r="E41" s="10" t="s">
        <v>189</v>
      </c>
      <c r="F41" s="10" t="e">
        <f t="shared" si="0"/>
        <v>#VALUE!</v>
      </c>
      <c r="G41" s="10"/>
      <c r="H41" s="20"/>
    </row>
    <row r="42" s="1" customFormat="1" ht="17.6" customHeight="1" spans="1:8">
      <c r="A42" s="8"/>
      <c r="B42" s="16"/>
      <c r="C42" s="10"/>
      <c r="D42" s="10"/>
      <c r="E42" s="10"/>
      <c r="F42" s="10"/>
      <c r="G42" s="10"/>
      <c r="H42" s="10"/>
    </row>
    <row r="43" s="1" customFormat="1" ht="17.6" customHeight="1" spans="1:8">
      <c r="A43" s="6" t="s">
        <v>190</v>
      </c>
      <c r="B43" s="7"/>
      <c r="C43" s="7"/>
      <c r="D43" s="7"/>
      <c r="E43" s="7"/>
      <c r="F43" s="7"/>
      <c r="G43" s="7"/>
      <c r="H43" s="18"/>
    </row>
    <row r="44" s="1" customFormat="1" ht="18" customHeight="1" spans="1:8">
      <c r="A44" s="8" t="s">
        <v>2</v>
      </c>
      <c r="B44" s="9" t="s">
        <v>3</v>
      </c>
      <c r="C44" s="10" t="s">
        <v>4</v>
      </c>
      <c r="D44" s="11" t="s">
        <v>5</v>
      </c>
      <c r="E44" s="11" t="s">
        <v>6</v>
      </c>
      <c r="F44" s="10" t="s">
        <v>7</v>
      </c>
      <c r="G44" s="10" t="s">
        <v>8</v>
      </c>
      <c r="H44" s="22"/>
    </row>
    <row r="45" s="1" customFormat="1" ht="17.6" customHeight="1" spans="1:8">
      <c r="A45" s="8"/>
      <c r="B45" s="9" t="s">
        <v>191</v>
      </c>
      <c r="C45" s="10"/>
      <c r="D45" s="10"/>
      <c r="E45" s="10"/>
      <c r="F45" s="10"/>
      <c r="G45" s="10"/>
      <c r="H45" s="22"/>
    </row>
    <row r="46" s="1" customFormat="1" ht="18" customHeight="1" spans="1:8">
      <c r="A46" s="8" t="s">
        <v>192</v>
      </c>
      <c r="B46" s="9" t="s">
        <v>193</v>
      </c>
      <c r="C46" s="10" t="s">
        <v>194</v>
      </c>
      <c r="D46" s="10" t="s">
        <v>195</v>
      </c>
      <c r="E46" s="10" t="s">
        <v>196</v>
      </c>
      <c r="F46" s="10" t="e">
        <f>E46-D46</f>
        <v>#VALUE!</v>
      </c>
      <c r="G46" s="10"/>
      <c r="H46" s="20" t="s">
        <v>197</v>
      </c>
    </row>
    <row r="47" s="1" customFormat="1" ht="18" customHeight="1" spans="1:8">
      <c r="A47" s="15"/>
      <c r="B47" s="9" t="s">
        <v>198</v>
      </c>
      <c r="C47" s="10" t="s">
        <v>78</v>
      </c>
      <c r="D47" s="10" t="s">
        <v>199</v>
      </c>
      <c r="E47" s="10" t="s">
        <v>200</v>
      </c>
      <c r="F47" s="10" t="e">
        <f t="shared" ref="F47:F84" si="1">E47-D47</f>
        <v>#VALUE!</v>
      </c>
      <c r="G47" s="10"/>
      <c r="H47" s="20"/>
    </row>
    <row r="48" s="1" customFormat="1" ht="18" customHeight="1" spans="1:8">
      <c r="A48" s="8" t="s">
        <v>201</v>
      </c>
      <c r="B48" s="9" t="s">
        <v>202</v>
      </c>
      <c r="C48" s="10" t="s">
        <v>203</v>
      </c>
      <c r="D48" s="10" t="s">
        <v>204</v>
      </c>
      <c r="E48" s="10" t="s">
        <v>205</v>
      </c>
      <c r="F48" s="10" t="e">
        <f t="shared" si="1"/>
        <v>#VALUE!</v>
      </c>
      <c r="G48" s="10"/>
      <c r="H48" s="20" t="s">
        <v>206</v>
      </c>
    </row>
    <row r="49" s="1" customFormat="1" ht="36" customHeight="1" spans="1:8">
      <c r="A49" s="12"/>
      <c r="B49" s="9" t="s">
        <v>207</v>
      </c>
      <c r="C49" s="10" t="s">
        <v>208</v>
      </c>
      <c r="D49" s="10" t="s">
        <v>209</v>
      </c>
      <c r="E49" s="10" t="s">
        <v>210</v>
      </c>
      <c r="F49" s="10" t="e">
        <f t="shared" si="1"/>
        <v>#VALUE!</v>
      </c>
      <c r="G49" s="10"/>
      <c r="H49" s="20" t="s">
        <v>173</v>
      </c>
    </row>
    <row r="50" s="1" customFormat="1" ht="18" customHeight="1" spans="1:8">
      <c r="A50" s="12"/>
      <c r="B50" s="9" t="s">
        <v>211</v>
      </c>
      <c r="C50" s="10" t="s">
        <v>212</v>
      </c>
      <c r="D50" s="10" t="s">
        <v>213</v>
      </c>
      <c r="E50" s="10" t="s">
        <v>214</v>
      </c>
      <c r="F50" s="10" t="e">
        <f t="shared" si="1"/>
        <v>#VALUE!</v>
      </c>
      <c r="G50" s="10"/>
      <c r="H50" s="20" t="s">
        <v>215</v>
      </c>
    </row>
    <row r="51" s="1" customFormat="1" ht="36" customHeight="1" spans="1:8">
      <c r="A51" s="12"/>
      <c r="B51" s="9" t="s">
        <v>216</v>
      </c>
      <c r="C51" s="10" t="s">
        <v>217</v>
      </c>
      <c r="D51" s="10" t="s">
        <v>218</v>
      </c>
      <c r="E51" s="10" t="s">
        <v>219</v>
      </c>
      <c r="F51" s="10" t="e">
        <f t="shared" si="1"/>
        <v>#VALUE!</v>
      </c>
      <c r="G51" s="10"/>
      <c r="H51" s="20" t="s">
        <v>220</v>
      </c>
    </row>
    <row r="52" s="1" customFormat="1" ht="18" customHeight="1" spans="1:8">
      <c r="A52" s="12"/>
      <c r="B52" s="9" t="s">
        <v>221</v>
      </c>
      <c r="C52" s="10" t="s">
        <v>222</v>
      </c>
      <c r="D52" s="10" t="s">
        <v>223</v>
      </c>
      <c r="E52" s="10" t="s">
        <v>224</v>
      </c>
      <c r="F52" s="10" t="e">
        <f t="shared" si="1"/>
        <v>#VALUE!</v>
      </c>
      <c r="G52" s="10"/>
      <c r="H52" s="20"/>
    </row>
    <row r="53" s="1" customFormat="1" ht="18" customHeight="1" spans="1:8">
      <c r="A53" s="12"/>
      <c r="B53" s="9" t="s">
        <v>225</v>
      </c>
      <c r="C53" s="10" t="s">
        <v>78</v>
      </c>
      <c r="D53" s="10" t="s">
        <v>226</v>
      </c>
      <c r="E53" s="10" t="s">
        <v>227</v>
      </c>
      <c r="F53" s="10" t="e">
        <f t="shared" si="1"/>
        <v>#VALUE!</v>
      </c>
      <c r="G53" s="10" t="s">
        <v>81</v>
      </c>
      <c r="H53" s="20">
        <v>100</v>
      </c>
    </row>
    <row r="54" s="1" customFormat="1" ht="18" customHeight="1" spans="1:8">
      <c r="A54" s="15"/>
      <c r="B54" s="9" t="s">
        <v>228</v>
      </c>
      <c r="C54" s="10" t="s">
        <v>78</v>
      </c>
      <c r="D54" s="10" t="s">
        <v>229</v>
      </c>
      <c r="E54" s="10" t="s">
        <v>230</v>
      </c>
      <c r="F54" s="10" t="e">
        <f t="shared" si="1"/>
        <v>#VALUE!</v>
      </c>
      <c r="G54" s="10" t="s">
        <v>81</v>
      </c>
      <c r="H54" s="20">
        <v>160</v>
      </c>
    </row>
    <row r="55" s="1" customFormat="1" ht="36" customHeight="1" spans="1:8">
      <c r="A55" s="8" t="s">
        <v>231</v>
      </c>
      <c r="B55" s="9" t="s">
        <v>232</v>
      </c>
      <c r="C55" s="10" t="s">
        <v>233</v>
      </c>
      <c r="D55" s="10" t="s">
        <v>234</v>
      </c>
      <c r="E55" s="10" t="s">
        <v>235</v>
      </c>
      <c r="F55" s="10" t="e">
        <f t="shared" si="1"/>
        <v>#VALUE!</v>
      </c>
      <c r="G55" s="10"/>
      <c r="H55" s="20" t="s">
        <v>124</v>
      </c>
    </row>
    <row r="56" s="1" customFormat="1" ht="36" customHeight="1" spans="1:8">
      <c r="A56" s="12"/>
      <c r="B56" s="9" t="s">
        <v>236</v>
      </c>
      <c r="C56" s="10" t="s">
        <v>237</v>
      </c>
      <c r="D56" s="10" t="s">
        <v>238</v>
      </c>
      <c r="E56" s="10" t="s">
        <v>239</v>
      </c>
      <c r="F56" s="10" t="e">
        <f t="shared" si="1"/>
        <v>#VALUE!</v>
      </c>
      <c r="G56" s="10"/>
      <c r="H56" s="20" t="s">
        <v>129</v>
      </c>
    </row>
    <row r="57" s="1" customFormat="1" ht="18" customHeight="1" spans="1:8">
      <c r="A57" s="12"/>
      <c r="B57" s="9" t="s">
        <v>240</v>
      </c>
      <c r="C57" s="14" t="s">
        <v>241</v>
      </c>
      <c r="D57" s="10" t="s">
        <v>242</v>
      </c>
      <c r="E57" s="10" t="s">
        <v>243</v>
      </c>
      <c r="F57" s="10" t="e">
        <f t="shared" si="1"/>
        <v>#VALUE!</v>
      </c>
      <c r="G57" s="10"/>
      <c r="H57" s="20"/>
    </row>
    <row r="58" s="1" customFormat="1" ht="18" customHeight="1" spans="1:8">
      <c r="A58" s="12"/>
      <c r="B58" s="9" t="s">
        <v>244</v>
      </c>
      <c r="C58" s="10" t="s">
        <v>78</v>
      </c>
      <c r="D58" s="10" t="s">
        <v>245</v>
      </c>
      <c r="E58" s="10" t="s">
        <v>246</v>
      </c>
      <c r="F58" s="10" t="e">
        <f t="shared" si="1"/>
        <v>#VALUE!</v>
      </c>
      <c r="G58" s="10"/>
      <c r="H58" s="20" t="s">
        <v>138</v>
      </c>
    </row>
    <row r="59" s="1" customFormat="1" ht="18" customHeight="1" spans="1:8">
      <c r="A59" s="12"/>
      <c r="B59" s="9" t="s">
        <v>247</v>
      </c>
      <c r="C59" s="10" t="s">
        <v>78</v>
      </c>
      <c r="D59" s="10" t="s">
        <v>248</v>
      </c>
      <c r="E59" s="10" t="s">
        <v>249</v>
      </c>
      <c r="F59" s="10" t="e">
        <f t="shared" si="1"/>
        <v>#VALUE!</v>
      </c>
      <c r="G59" s="10" t="s">
        <v>81</v>
      </c>
      <c r="H59" s="20">
        <v>250</v>
      </c>
    </row>
    <row r="60" s="1" customFormat="1" ht="18" customHeight="1" spans="1:8">
      <c r="A60" s="15"/>
      <c r="B60" s="9" t="s">
        <v>250</v>
      </c>
      <c r="C60" s="14" t="s">
        <v>251</v>
      </c>
      <c r="D60" s="10" t="s">
        <v>252</v>
      </c>
      <c r="E60" s="10" t="s">
        <v>253</v>
      </c>
      <c r="F60" s="10" t="e">
        <f t="shared" si="1"/>
        <v>#VALUE!</v>
      </c>
      <c r="G60" s="10"/>
      <c r="H60" s="20"/>
    </row>
    <row r="61" s="1" customFormat="1" ht="36" customHeight="1" spans="1:8">
      <c r="A61" s="8" t="s">
        <v>254</v>
      </c>
      <c r="B61" s="9" t="s">
        <v>255</v>
      </c>
      <c r="C61" s="10" t="s">
        <v>256</v>
      </c>
      <c r="D61" s="10" t="s">
        <v>257</v>
      </c>
      <c r="E61" s="10" t="s">
        <v>258</v>
      </c>
      <c r="F61" s="10" t="e">
        <f t="shared" si="1"/>
        <v>#VALUE!</v>
      </c>
      <c r="G61" s="10"/>
      <c r="H61" s="21" t="s">
        <v>87</v>
      </c>
    </row>
    <row r="62" s="1" customFormat="1" ht="36" customHeight="1" spans="1:8">
      <c r="A62" s="12"/>
      <c r="B62" s="9" t="s">
        <v>259</v>
      </c>
      <c r="C62" s="10" t="s">
        <v>260</v>
      </c>
      <c r="D62" s="10" t="s">
        <v>261</v>
      </c>
      <c r="E62" s="10" t="s">
        <v>262</v>
      </c>
      <c r="F62" s="10" t="e">
        <f t="shared" si="1"/>
        <v>#VALUE!</v>
      </c>
      <c r="G62" s="10"/>
      <c r="H62" s="20" t="s">
        <v>263</v>
      </c>
    </row>
    <row r="63" s="1" customFormat="1" ht="36" customHeight="1" spans="1:8">
      <c r="A63" s="12"/>
      <c r="B63" s="9" t="s">
        <v>264</v>
      </c>
      <c r="C63" s="10" t="s">
        <v>265</v>
      </c>
      <c r="D63" s="10" t="s">
        <v>266</v>
      </c>
      <c r="E63" s="10" t="s">
        <v>267</v>
      </c>
      <c r="F63" s="10" t="e">
        <f t="shared" si="1"/>
        <v>#VALUE!</v>
      </c>
      <c r="G63" s="10"/>
      <c r="H63" s="20" t="s">
        <v>268</v>
      </c>
    </row>
    <row r="64" s="1" customFormat="1" ht="18" customHeight="1" spans="1:8">
      <c r="A64" s="12"/>
      <c r="B64" s="9" t="s">
        <v>269</v>
      </c>
      <c r="C64" s="10" t="s">
        <v>270</v>
      </c>
      <c r="D64" s="10" t="s">
        <v>271</v>
      </c>
      <c r="E64" s="10" t="s">
        <v>272</v>
      </c>
      <c r="F64" s="10" t="e">
        <f t="shared" si="1"/>
        <v>#VALUE!</v>
      </c>
      <c r="G64" s="10"/>
      <c r="H64" s="20" t="s">
        <v>273</v>
      </c>
    </row>
    <row r="65" s="1" customFormat="1" ht="18" customHeight="1" spans="1:8">
      <c r="A65" s="12"/>
      <c r="B65" s="9" t="s">
        <v>274</v>
      </c>
      <c r="C65" s="10" t="s">
        <v>275</v>
      </c>
      <c r="D65" s="10" t="s">
        <v>276</v>
      </c>
      <c r="E65" s="10" t="s">
        <v>277</v>
      </c>
      <c r="F65" s="10" t="e">
        <f t="shared" si="1"/>
        <v>#VALUE!</v>
      </c>
      <c r="G65" s="10"/>
      <c r="H65" s="20" t="s">
        <v>107</v>
      </c>
    </row>
    <row r="66" s="1" customFormat="1" ht="36" customHeight="1" spans="1:8">
      <c r="A66" s="12"/>
      <c r="B66" s="9" t="s">
        <v>278</v>
      </c>
      <c r="C66" s="10" t="s">
        <v>279</v>
      </c>
      <c r="D66" s="10" t="s">
        <v>280</v>
      </c>
      <c r="E66" s="10" t="s">
        <v>281</v>
      </c>
      <c r="F66" s="10" t="e">
        <f t="shared" si="1"/>
        <v>#VALUE!</v>
      </c>
      <c r="G66" s="10"/>
      <c r="H66" s="20" t="s">
        <v>112</v>
      </c>
    </row>
    <row r="67" s="1" customFormat="1" ht="18" customHeight="1" spans="1:8">
      <c r="A67" s="12"/>
      <c r="B67" s="9" t="s">
        <v>282</v>
      </c>
      <c r="C67" s="10" t="s">
        <v>283</v>
      </c>
      <c r="D67" s="10" t="s">
        <v>284</v>
      </c>
      <c r="E67" s="10" t="s">
        <v>285</v>
      </c>
      <c r="F67" s="10" t="e">
        <f t="shared" si="1"/>
        <v>#VALUE!</v>
      </c>
      <c r="G67" s="10"/>
      <c r="H67" s="20" t="s">
        <v>286</v>
      </c>
    </row>
    <row r="68" s="1" customFormat="1" ht="18" customHeight="1" spans="1:8">
      <c r="A68" s="15"/>
      <c r="B68" s="9" t="s">
        <v>287</v>
      </c>
      <c r="C68" s="10" t="s">
        <v>78</v>
      </c>
      <c r="D68" s="10" t="s">
        <v>288</v>
      </c>
      <c r="E68" s="10" t="s">
        <v>289</v>
      </c>
      <c r="F68" s="10" t="e">
        <f t="shared" si="1"/>
        <v>#VALUE!</v>
      </c>
      <c r="G68" s="10" t="s">
        <v>81</v>
      </c>
      <c r="H68" s="20">
        <v>400</v>
      </c>
    </row>
    <row r="69" s="1" customFormat="1" ht="18" customHeight="1" spans="1:8">
      <c r="A69" s="8" t="s">
        <v>290</v>
      </c>
      <c r="B69" s="9" t="s">
        <v>291</v>
      </c>
      <c r="C69" s="10" t="s">
        <v>292</v>
      </c>
      <c r="D69" s="10" t="s">
        <v>293</v>
      </c>
      <c r="E69" s="10" t="s">
        <v>294</v>
      </c>
      <c r="F69" s="10" t="e">
        <f t="shared" si="1"/>
        <v>#VALUE!</v>
      </c>
      <c r="G69" s="10"/>
      <c r="H69" s="20" t="s">
        <v>295</v>
      </c>
    </row>
    <row r="70" s="1" customFormat="1" ht="18" customHeight="1" spans="1:8">
      <c r="A70" s="12"/>
      <c r="B70" s="9" t="s">
        <v>296</v>
      </c>
      <c r="C70" s="10" t="s">
        <v>297</v>
      </c>
      <c r="D70" s="10" t="s">
        <v>298</v>
      </c>
      <c r="E70" s="10" t="s">
        <v>299</v>
      </c>
      <c r="F70" s="10" t="e">
        <f t="shared" si="1"/>
        <v>#VALUE!</v>
      </c>
      <c r="G70" s="10"/>
      <c r="H70" s="20" t="s">
        <v>300</v>
      </c>
    </row>
    <row r="71" s="1" customFormat="1" ht="36" customHeight="1" spans="1:8">
      <c r="A71" s="12"/>
      <c r="B71" s="9" t="s">
        <v>301</v>
      </c>
      <c r="C71" s="10" t="s">
        <v>302</v>
      </c>
      <c r="D71" s="10" t="s">
        <v>303</v>
      </c>
      <c r="E71" s="10" t="s">
        <v>304</v>
      </c>
      <c r="F71" s="10" t="e">
        <f t="shared" si="1"/>
        <v>#VALUE!</v>
      </c>
      <c r="G71" s="10"/>
      <c r="H71" s="20" t="s">
        <v>57</v>
      </c>
    </row>
    <row r="72" s="1" customFormat="1" ht="18" customHeight="1" spans="1:8">
      <c r="A72" s="12"/>
      <c r="B72" s="9" t="s">
        <v>305</v>
      </c>
      <c r="C72" s="10" t="s">
        <v>306</v>
      </c>
      <c r="D72" s="10" t="s">
        <v>307</v>
      </c>
      <c r="E72" s="10" t="s">
        <v>308</v>
      </c>
      <c r="F72" s="10" t="e">
        <f t="shared" si="1"/>
        <v>#VALUE!</v>
      </c>
      <c r="G72" s="10"/>
      <c r="H72" s="20" t="s">
        <v>309</v>
      </c>
    </row>
    <row r="73" s="1" customFormat="1" ht="18" customHeight="1" spans="1:8">
      <c r="A73" s="12"/>
      <c r="B73" s="9" t="s">
        <v>310</v>
      </c>
      <c r="C73" s="10" t="s">
        <v>311</v>
      </c>
      <c r="D73" s="10" t="s">
        <v>312</v>
      </c>
      <c r="E73" s="10" t="s">
        <v>313</v>
      </c>
      <c r="F73" s="10" t="e">
        <f t="shared" si="1"/>
        <v>#VALUE!</v>
      </c>
      <c r="G73" s="10"/>
      <c r="H73" s="20" t="s">
        <v>314</v>
      </c>
    </row>
    <row r="74" s="1" customFormat="1" ht="18" customHeight="1" spans="1:8">
      <c r="A74" s="12"/>
      <c r="B74" s="9" t="s">
        <v>315</v>
      </c>
      <c r="C74" s="10" t="s">
        <v>316</v>
      </c>
      <c r="D74" s="10" t="s">
        <v>317</v>
      </c>
      <c r="E74" s="10" t="s">
        <v>318</v>
      </c>
      <c r="F74" s="10" t="e">
        <f t="shared" si="1"/>
        <v>#VALUE!</v>
      </c>
      <c r="G74" s="10"/>
      <c r="H74" s="20" t="s">
        <v>319</v>
      </c>
    </row>
    <row r="75" s="1" customFormat="1" ht="18" customHeight="1" spans="1:8">
      <c r="A75" s="12"/>
      <c r="B75" s="9" t="s">
        <v>320</v>
      </c>
      <c r="C75" s="10" t="s">
        <v>321</v>
      </c>
      <c r="D75" s="10" t="s">
        <v>322</v>
      </c>
      <c r="E75" s="10" t="s">
        <v>323</v>
      </c>
      <c r="F75" s="10" t="e">
        <f t="shared" si="1"/>
        <v>#VALUE!</v>
      </c>
      <c r="G75" s="10" t="s">
        <v>81</v>
      </c>
      <c r="H75" s="20"/>
    </row>
    <row r="76" s="1" customFormat="1" ht="18" customHeight="1" spans="1:8">
      <c r="A76" s="15"/>
      <c r="B76" s="9" t="s">
        <v>324</v>
      </c>
      <c r="C76" s="10" t="s">
        <v>325</v>
      </c>
      <c r="D76" s="10" t="s">
        <v>326</v>
      </c>
      <c r="E76" s="10" t="s">
        <v>327</v>
      </c>
      <c r="F76" s="10" t="e">
        <f t="shared" si="1"/>
        <v>#VALUE!</v>
      </c>
      <c r="G76" s="10"/>
      <c r="H76" s="20"/>
    </row>
    <row r="77" s="1" customFormat="1" ht="18" customHeight="1" spans="1:8">
      <c r="A77" s="8" t="s">
        <v>328</v>
      </c>
      <c r="B77" s="9" t="s">
        <v>329</v>
      </c>
      <c r="C77" s="10" t="s">
        <v>330</v>
      </c>
      <c r="D77" s="10" t="s">
        <v>331</v>
      </c>
      <c r="E77" s="10" t="s">
        <v>332</v>
      </c>
      <c r="F77" s="10" t="e">
        <f t="shared" si="1"/>
        <v>#VALUE!</v>
      </c>
      <c r="G77" s="10"/>
      <c r="H77" s="20" t="s">
        <v>16</v>
      </c>
    </row>
    <row r="78" s="1" customFormat="1" ht="18" customHeight="1" spans="1:8">
      <c r="A78" s="12"/>
      <c r="B78" s="9" t="s">
        <v>333</v>
      </c>
      <c r="C78" s="10" t="s">
        <v>334</v>
      </c>
      <c r="D78" s="10" t="s">
        <v>335</v>
      </c>
      <c r="E78" s="10" t="s">
        <v>336</v>
      </c>
      <c r="F78" s="10" t="e">
        <f t="shared" si="1"/>
        <v>#VALUE!</v>
      </c>
      <c r="G78" s="10"/>
      <c r="H78" s="20" t="s">
        <v>337</v>
      </c>
    </row>
    <row r="79" s="1" customFormat="1" ht="18" customHeight="1" spans="1:8">
      <c r="A79" s="12"/>
      <c r="B79" s="9" t="s">
        <v>338</v>
      </c>
      <c r="C79" s="10" t="s">
        <v>339</v>
      </c>
      <c r="D79" s="10" t="s">
        <v>340</v>
      </c>
      <c r="E79" s="10" t="s">
        <v>341</v>
      </c>
      <c r="F79" s="10" t="e">
        <f t="shared" si="1"/>
        <v>#VALUE!</v>
      </c>
      <c r="G79" s="10"/>
      <c r="H79" s="20" t="s">
        <v>342</v>
      </c>
    </row>
    <row r="80" s="1" customFormat="1" ht="36" customHeight="1" spans="1:8">
      <c r="A80" s="12"/>
      <c r="B80" s="9" t="s">
        <v>343</v>
      </c>
      <c r="C80" s="10" t="s">
        <v>344</v>
      </c>
      <c r="D80" s="10" t="s">
        <v>345</v>
      </c>
      <c r="E80" s="10" t="s">
        <v>346</v>
      </c>
      <c r="F80" s="10" t="e">
        <f t="shared" si="1"/>
        <v>#VALUE!</v>
      </c>
      <c r="G80" s="10"/>
      <c r="H80" s="20" t="s">
        <v>72</v>
      </c>
    </row>
    <row r="81" s="1" customFormat="1" ht="36" customHeight="1" spans="1:8">
      <c r="A81" s="12"/>
      <c r="B81" s="9" t="s">
        <v>347</v>
      </c>
      <c r="C81" s="10" t="s">
        <v>348</v>
      </c>
      <c r="D81" s="10" t="s">
        <v>349</v>
      </c>
      <c r="E81" s="10" t="s">
        <v>350</v>
      </c>
      <c r="F81" s="10" t="e">
        <f t="shared" si="1"/>
        <v>#VALUE!</v>
      </c>
      <c r="G81" s="10"/>
      <c r="H81" s="20">
        <v>250</v>
      </c>
    </row>
    <row r="82" s="1" customFormat="1" ht="18" customHeight="1" spans="1:8">
      <c r="A82" s="15"/>
      <c r="B82" s="9" t="s">
        <v>351</v>
      </c>
      <c r="C82" s="10" t="s">
        <v>78</v>
      </c>
      <c r="D82" s="10" t="s">
        <v>352</v>
      </c>
      <c r="E82" s="10" t="s">
        <v>353</v>
      </c>
      <c r="F82" s="10" t="e">
        <f t="shared" si="1"/>
        <v>#VALUE!</v>
      </c>
      <c r="G82" s="10" t="s">
        <v>81</v>
      </c>
      <c r="H82" s="20">
        <v>160</v>
      </c>
    </row>
    <row r="83" s="1" customFormat="1" ht="17.6" customHeight="1" spans="1:8">
      <c r="A83" s="8"/>
      <c r="B83" s="9"/>
      <c r="C83" s="10"/>
      <c r="D83" s="10"/>
      <c r="E83" s="10"/>
      <c r="F83" s="10"/>
      <c r="G83" s="10"/>
      <c r="H83" s="10"/>
    </row>
    <row r="84" s="1" customFormat="1" ht="17.6" customHeight="1" spans="1:8">
      <c r="A84" s="23" t="s">
        <v>354</v>
      </c>
      <c r="B84" s="23"/>
      <c r="C84" s="23"/>
      <c r="D84" s="23"/>
      <c r="E84" s="23"/>
      <c r="F84" s="23"/>
      <c r="G84" s="23"/>
      <c r="H84" s="23"/>
    </row>
    <row r="85" s="1" customFormat="1" ht="18" customHeight="1" spans="1:8">
      <c r="A85" s="8" t="s">
        <v>2</v>
      </c>
      <c r="B85" s="9" t="s">
        <v>3</v>
      </c>
      <c r="C85" s="10" t="s">
        <v>4</v>
      </c>
      <c r="D85" s="11" t="s">
        <v>5</v>
      </c>
      <c r="E85" s="11" t="s">
        <v>6</v>
      </c>
      <c r="F85" s="10" t="s">
        <v>7</v>
      </c>
      <c r="G85" s="10" t="s">
        <v>8</v>
      </c>
      <c r="H85" s="19" t="s">
        <v>9</v>
      </c>
    </row>
    <row r="86" s="1" customFormat="1" ht="17.6" customHeight="1" spans="1:8">
      <c r="A86" s="8"/>
      <c r="B86" s="9" t="s">
        <v>355</v>
      </c>
      <c r="C86" s="10"/>
      <c r="D86" s="10"/>
      <c r="E86" s="10"/>
      <c r="F86" s="10"/>
      <c r="G86" s="10"/>
      <c r="H86" s="19"/>
    </row>
    <row r="87" s="1" customFormat="1" ht="17.6" customHeight="1" spans="1:8">
      <c r="A87" s="19" t="s">
        <v>356</v>
      </c>
      <c r="B87" s="9" t="s">
        <v>357</v>
      </c>
      <c r="C87" s="24" t="s">
        <v>358</v>
      </c>
      <c r="D87" s="10" t="s">
        <v>359</v>
      </c>
      <c r="E87" s="10" t="s">
        <v>360</v>
      </c>
      <c r="F87" s="10" t="e">
        <f>E87-D87</f>
        <v>#VALUE!</v>
      </c>
      <c r="G87" s="10"/>
      <c r="H87" s="20" t="s">
        <v>361</v>
      </c>
    </row>
    <row r="88" s="1" customFormat="1" ht="18" customHeight="1" spans="1:8">
      <c r="A88" s="12"/>
      <c r="B88" s="9" t="s">
        <v>362</v>
      </c>
      <c r="C88" s="10" t="s">
        <v>78</v>
      </c>
      <c r="D88" s="10" t="s">
        <v>363</v>
      </c>
      <c r="E88" s="10" t="s">
        <v>364</v>
      </c>
      <c r="F88" s="10" t="e">
        <f t="shared" ref="F88:F109" si="2">E88-D88</f>
        <v>#VALUE!</v>
      </c>
      <c r="G88" s="10" t="s">
        <v>81</v>
      </c>
      <c r="H88" s="20"/>
    </row>
    <row r="89" s="1" customFormat="1" ht="18" customHeight="1" spans="1:8">
      <c r="A89" s="15"/>
      <c r="B89" s="9" t="s">
        <v>365</v>
      </c>
      <c r="C89" s="10" t="s">
        <v>78</v>
      </c>
      <c r="D89" s="10" t="s">
        <v>366</v>
      </c>
      <c r="E89" s="10" t="s">
        <v>367</v>
      </c>
      <c r="F89" s="10" t="e">
        <f t="shared" si="2"/>
        <v>#VALUE!</v>
      </c>
      <c r="G89" s="10" t="s">
        <v>81</v>
      </c>
      <c r="H89" s="24"/>
    </row>
    <row r="90" s="1" customFormat="1" ht="18" customHeight="1" spans="1:8">
      <c r="A90" s="19" t="s">
        <v>368</v>
      </c>
      <c r="B90" s="9" t="s">
        <v>369</v>
      </c>
      <c r="C90" s="10" t="s">
        <v>78</v>
      </c>
      <c r="D90" s="10" t="s">
        <v>370</v>
      </c>
      <c r="E90" s="10" t="s">
        <v>371</v>
      </c>
      <c r="F90" s="10" t="e">
        <f t="shared" si="2"/>
        <v>#VALUE!</v>
      </c>
      <c r="G90" s="10" t="s">
        <v>81</v>
      </c>
      <c r="H90" s="20">
        <v>630</v>
      </c>
    </row>
    <row r="91" s="1" customFormat="1" ht="18" customHeight="1" spans="1:8">
      <c r="A91" s="12"/>
      <c r="B91" s="9" t="s">
        <v>372</v>
      </c>
      <c r="C91" s="10" t="s">
        <v>373</v>
      </c>
      <c r="D91" s="10" t="s">
        <v>374</v>
      </c>
      <c r="E91" s="10" t="s">
        <v>375</v>
      </c>
      <c r="F91" s="10" t="e">
        <f t="shared" si="2"/>
        <v>#VALUE!</v>
      </c>
      <c r="G91" s="10"/>
      <c r="H91" s="20"/>
    </row>
    <row r="92" s="1" customFormat="1" ht="17.6" customHeight="1" spans="1:8">
      <c r="A92" s="12"/>
      <c r="B92" s="9" t="s">
        <v>376</v>
      </c>
      <c r="C92" s="24" t="s">
        <v>377</v>
      </c>
      <c r="D92" s="10" t="s">
        <v>378</v>
      </c>
      <c r="E92" s="10" t="s">
        <v>379</v>
      </c>
      <c r="F92" s="10" t="e">
        <f t="shared" si="2"/>
        <v>#VALUE!</v>
      </c>
      <c r="G92" s="24"/>
      <c r="H92" s="20" t="s">
        <v>380</v>
      </c>
    </row>
    <row r="93" s="1" customFormat="1" ht="17.6" customHeight="1" spans="1:8">
      <c r="A93" s="15"/>
      <c r="B93" s="9" t="s">
        <v>381</v>
      </c>
      <c r="C93" s="24" t="s">
        <v>382</v>
      </c>
      <c r="D93" s="10" t="s">
        <v>383</v>
      </c>
      <c r="E93" s="10" t="s">
        <v>384</v>
      </c>
      <c r="F93" s="10" t="e">
        <f t="shared" si="2"/>
        <v>#VALUE!</v>
      </c>
      <c r="G93" s="24"/>
      <c r="H93" s="20" t="s">
        <v>380</v>
      </c>
    </row>
    <row r="94" s="1" customFormat="1" ht="36" customHeight="1" spans="1:8">
      <c r="A94" s="19" t="s">
        <v>385</v>
      </c>
      <c r="B94" s="9" t="s">
        <v>386</v>
      </c>
      <c r="C94" s="10" t="s">
        <v>387</v>
      </c>
      <c r="D94" s="10" t="s">
        <v>388</v>
      </c>
      <c r="E94" s="10" t="s">
        <v>389</v>
      </c>
      <c r="F94" s="10" t="e">
        <f t="shared" si="2"/>
        <v>#VALUE!</v>
      </c>
      <c r="G94" s="10"/>
      <c r="H94" s="20" t="s">
        <v>390</v>
      </c>
    </row>
    <row r="95" s="1" customFormat="1" ht="36" customHeight="1" spans="1:8">
      <c r="A95" s="12"/>
      <c r="B95" s="9" t="s">
        <v>391</v>
      </c>
      <c r="C95" s="10" t="s">
        <v>392</v>
      </c>
      <c r="D95" s="10" t="s">
        <v>393</v>
      </c>
      <c r="E95" s="10" t="s">
        <v>394</v>
      </c>
      <c r="F95" s="10" t="e">
        <f t="shared" si="2"/>
        <v>#VALUE!</v>
      </c>
      <c r="G95" s="10"/>
      <c r="H95" s="20" t="s">
        <v>26</v>
      </c>
    </row>
    <row r="96" s="1" customFormat="1" ht="36" customHeight="1" spans="1:8">
      <c r="A96" s="12"/>
      <c r="B96" s="9" t="s">
        <v>395</v>
      </c>
      <c r="C96" s="10" t="s">
        <v>396</v>
      </c>
      <c r="D96" s="10" t="s">
        <v>397</v>
      </c>
      <c r="E96" s="10" t="s">
        <v>398</v>
      </c>
      <c r="F96" s="10" t="e">
        <f t="shared" si="2"/>
        <v>#VALUE!</v>
      </c>
      <c r="G96" s="10"/>
      <c r="H96" s="20" t="s">
        <v>399</v>
      </c>
    </row>
    <row r="97" s="1" customFormat="1" ht="17.6" customHeight="1" spans="1:8">
      <c r="A97" s="12"/>
      <c r="B97" s="9" t="s">
        <v>400</v>
      </c>
      <c r="C97" s="24" t="s">
        <v>401</v>
      </c>
      <c r="D97" s="10" t="s">
        <v>402</v>
      </c>
      <c r="E97" s="10" t="s">
        <v>403</v>
      </c>
      <c r="F97" s="10" t="e">
        <f t="shared" si="2"/>
        <v>#VALUE!</v>
      </c>
      <c r="G97" s="24"/>
      <c r="H97" s="20" t="s">
        <v>404</v>
      </c>
    </row>
    <row r="98" s="1" customFormat="1" ht="18" customHeight="1" spans="1:8">
      <c r="A98" s="12"/>
      <c r="B98" s="9" t="s">
        <v>405</v>
      </c>
      <c r="C98" s="10" t="s">
        <v>78</v>
      </c>
      <c r="D98" s="10" t="s">
        <v>406</v>
      </c>
      <c r="E98" s="10" t="s">
        <v>407</v>
      </c>
      <c r="F98" s="10" t="e">
        <f t="shared" si="2"/>
        <v>#VALUE!</v>
      </c>
      <c r="G98" s="10" t="s">
        <v>81</v>
      </c>
      <c r="H98" s="20">
        <v>100</v>
      </c>
    </row>
    <row r="99" s="1" customFormat="1" ht="18" customHeight="1" spans="1:8">
      <c r="A99" s="12"/>
      <c r="B99" s="9" t="s">
        <v>408</v>
      </c>
      <c r="C99" s="10" t="s">
        <v>409</v>
      </c>
      <c r="D99" s="10" t="s">
        <v>410</v>
      </c>
      <c r="E99" s="10" t="s">
        <v>411</v>
      </c>
      <c r="F99" s="10" t="e">
        <f t="shared" si="2"/>
        <v>#VALUE!</v>
      </c>
      <c r="G99" s="10" t="s">
        <v>409</v>
      </c>
      <c r="H99" s="20"/>
    </row>
    <row r="100" s="1" customFormat="1" ht="18" customHeight="1" spans="1:8">
      <c r="A100" s="12"/>
      <c r="B100" s="9" t="s">
        <v>412</v>
      </c>
      <c r="C100" s="10" t="s">
        <v>78</v>
      </c>
      <c r="D100" s="10" t="s">
        <v>413</v>
      </c>
      <c r="E100" s="10" t="s">
        <v>414</v>
      </c>
      <c r="F100" s="10" t="e">
        <f t="shared" si="2"/>
        <v>#VALUE!</v>
      </c>
      <c r="G100" s="10" t="s">
        <v>81</v>
      </c>
      <c r="H100" s="20">
        <v>250</v>
      </c>
    </row>
    <row r="101" s="1" customFormat="1" ht="18" customHeight="1" spans="1:8">
      <c r="A101" s="15"/>
      <c r="B101" s="9" t="s">
        <v>415</v>
      </c>
      <c r="C101" s="10" t="s">
        <v>416</v>
      </c>
      <c r="D101" s="10" t="s">
        <v>417</v>
      </c>
      <c r="E101" s="10" t="s">
        <v>418</v>
      </c>
      <c r="F101" s="10" t="e">
        <f t="shared" si="2"/>
        <v>#VALUE!</v>
      </c>
      <c r="G101" s="10"/>
      <c r="H101" s="20"/>
    </row>
    <row r="102" s="1" customFormat="1" ht="34" customHeight="1" spans="1:8">
      <c r="A102" s="19" t="s">
        <v>419</v>
      </c>
      <c r="B102" s="9" t="s">
        <v>420</v>
      </c>
      <c r="C102" s="24" t="s">
        <v>421</v>
      </c>
      <c r="D102" s="10" t="s">
        <v>422</v>
      </c>
      <c r="E102" s="10" t="s">
        <v>423</v>
      </c>
      <c r="F102" s="10" t="e">
        <f t="shared" si="2"/>
        <v>#VALUE!</v>
      </c>
      <c r="G102" s="24"/>
      <c r="H102" s="20" t="s">
        <v>26</v>
      </c>
    </row>
    <row r="103" s="1" customFormat="1" ht="34" customHeight="1" spans="1:8">
      <c r="A103" s="12"/>
      <c r="B103" s="9" t="s">
        <v>424</v>
      </c>
      <c r="C103" s="24" t="s">
        <v>425</v>
      </c>
      <c r="D103" s="10" t="s">
        <v>426</v>
      </c>
      <c r="E103" s="10" t="s">
        <v>427</v>
      </c>
      <c r="F103" s="10" t="e">
        <f t="shared" si="2"/>
        <v>#VALUE!</v>
      </c>
      <c r="G103" s="24"/>
      <c r="H103" s="20" t="s">
        <v>319</v>
      </c>
    </row>
    <row r="104" s="1" customFormat="1" ht="17.6" customHeight="1" spans="1:8">
      <c r="A104" s="12"/>
      <c r="B104" s="9" t="s">
        <v>428</v>
      </c>
      <c r="C104" s="24" t="s">
        <v>429</v>
      </c>
      <c r="D104" s="10" t="s">
        <v>430</v>
      </c>
      <c r="E104" s="10" t="s">
        <v>431</v>
      </c>
      <c r="F104" s="10" t="e">
        <f t="shared" si="2"/>
        <v>#VALUE!</v>
      </c>
      <c r="G104" s="24"/>
      <c r="H104" s="20" t="s">
        <v>432</v>
      </c>
    </row>
    <row r="105" s="1" customFormat="1" ht="34" customHeight="1" spans="1:8">
      <c r="A105" s="12"/>
      <c r="B105" s="9" t="s">
        <v>433</v>
      </c>
      <c r="C105" s="24" t="s">
        <v>434</v>
      </c>
      <c r="D105" s="10" t="s">
        <v>435</v>
      </c>
      <c r="E105" s="10" t="s">
        <v>436</v>
      </c>
      <c r="F105" s="10" t="e">
        <f t="shared" si="2"/>
        <v>#VALUE!</v>
      </c>
      <c r="G105" s="24"/>
      <c r="H105" s="21" t="s">
        <v>437</v>
      </c>
    </row>
    <row r="106" s="1" customFormat="1" ht="34" customHeight="1" spans="1:8">
      <c r="A106" s="12"/>
      <c r="B106" s="9" t="s">
        <v>438</v>
      </c>
      <c r="C106" s="24" t="s">
        <v>439</v>
      </c>
      <c r="D106" s="10" t="s">
        <v>440</v>
      </c>
      <c r="E106" s="10" t="s">
        <v>441</v>
      </c>
      <c r="F106" s="10" t="e">
        <f t="shared" si="2"/>
        <v>#VALUE!</v>
      </c>
      <c r="G106" s="24"/>
      <c r="H106" s="20" t="s">
        <v>442</v>
      </c>
    </row>
    <row r="107" s="1" customFormat="1" ht="36" customHeight="1" spans="1:8">
      <c r="A107" s="12"/>
      <c r="B107" s="9" t="s">
        <v>443</v>
      </c>
      <c r="C107" s="10" t="s">
        <v>444</v>
      </c>
      <c r="D107" s="10" t="s">
        <v>445</v>
      </c>
      <c r="E107" s="10" t="s">
        <v>446</v>
      </c>
      <c r="F107" s="10" t="e">
        <f t="shared" si="2"/>
        <v>#VALUE!</v>
      </c>
      <c r="G107" s="10"/>
      <c r="H107" s="20" t="s">
        <v>57</v>
      </c>
    </row>
    <row r="108" s="1" customFormat="1" ht="18" customHeight="1" spans="1:8">
      <c r="A108" s="12"/>
      <c r="B108" s="9" t="s">
        <v>447</v>
      </c>
      <c r="C108" s="10" t="s">
        <v>448</v>
      </c>
      <c r="D108" s="10" t="s">
        <v>449</v>
      </c>
      <c r="E108" s="10" t="s">
        <v>450</v>
      </c>
      <c r="F108" s="10" t="e">
        <f t="shared" si="2"/>
        <v>#VALUE!</v>
      </c>
      <c r="G108" s="10"/>
      <c r="H108" s="20" t="s">
        <v>451</v>
      </c>
    </row>
    <row r="109" s="1" customFormat="1" ht="18" customHeight="1" spans="1:8">
      <c r="A109" s="15"/>
      <c r="B109" s="9" t="s">
        <v>452</v>
      </c>
      <c r="C109" s="10" t="s">
        <v>78</v>
      </c>
      <c r="D109" s="10" t="s">
        <v>453</v>
      </c>
      <c r="E109" s="10" t="s">
        <v>454</v>
      </c>
      <c r="F109" s="10" t="e">
        <f t="shared" si="2"/>
        <v>#VALUE!</v>
      </c>
      <c r="G109" s="10" t="s">
        <v>81</v>
      </c>
      <c r="H109" s="20">
        <v>160</v>
      </c>
    </row>
    <row r="110" s="1" customFormat="1" ht="17.6" customHeight="1" spans="1:8">
      <c r="A110" s="19"/>
      <c r="B110" s="9"/>
      <c r="C110" s="10"/>
      <c r="D110" s="10"/>
      <c r="E110" s="10"/>
      <c r="F110" s="10"/>
      <c r="G110" s="10"/>
      <c r="H110" s="10"/>
    </row>
    <row r="111" s="1" customFormat="1" ht="17.6" customHeight="1" spans="1:8">
      <c r="A111" s="6" t="s">
        <v>455</v>
      </c>
      <c r="B111" s="7"/>
      <c r="C111" s="7"/>
      <c r="D111" s="7"/>
      <c r="E111" s="7"/>
      <c r="F111" s="7"/>
      <c r="G111" s="7"/>
      <c r="H111" s="7"/>
    </row>
    <row r="112" s="1" customFormat="1" ht="18" customHeight="1" spans="1:8">
      <c r="A112" s="8" t="s">
        <v>2</v>
      </c>
      <c r="B112" s="9" t="s">
        <v>3</v>
      </c>
      <c r="C112" s="10" t="s">
        <v>4</v>
      </c>
      <c r="D112" s="11" t="s">
        <v>5</v>
      </c>
      <c r="E112" s="11" t="s">
        <v>6</v>
      </c>
      <c r="F112" s="10"/>
      <c r="G112" s="10" t="s">
        <v>8</v>
      </c>
      <c r="H112" s="19" t="s">
        <v>9</v>
      </c>
    </row>
    <row r="113" s="1" customFormat="1" ht="17.6" customHeight="1" spans="1:8">
      <c r="A113" s="8"/>
      <c r="B113" s="9" t="s">
        <v>456</v>
      </c>
      <c r="C113" s="10"/>
      <c r="D113" s="10"/>
      <c r="E113" s="10"/>
      <c r="F113" s="10"/>
      <c r="G113" s="10"/>
      <c r="H113" s="19"/>
    </row>
    <row r="114" s="1" customFormat="1" ht="34" customHeight="1" spans="1:8">
      <c r="A114" s="19" t="s">
        <v>457</v>
      </c>
      <c r="B114" s="9" t="s">
        <v>458</v>
      </c>
      <c r="C114" s="24" t="s">
        <v>459</v>
      </c>
      <c r="D114" s="24" t="s">
        <v>460</v>
      </c>
      <c r="E114" s="24" t="s">
        <v>461</v>
      </c>
      <c r="F114" s="10" t="e">
        <f>E114-D114</f>
        <v>#VALUE!</v>
      </c>
      <c r="G114" s="24"/>
      <c r="H114" s="20" t="s">
        <v>462</v>
      </c>
    </row>
    <row r="115" s="1" customFormat="1" ht="34" customHeight="1" spans="1:8">
      <c r="A115" s="12"/>
      <c r="B115" s="9" t="s">
        <v>463</v>
      </c>
      <c r="C115" s="24" t="s">
        <v>464</v>
      </c>
      <c r="D115" s="24" t="s">
        <v>465</v>
      </c>
      <c r="E115" s="24" t="s">
        <v>466</v>
      </c>
      <c r="F115" s="10" t="e">
        <f t="shared" ref="F115:F138" si="3">E115-D115</f>
        <v>#VALUE!</v>
      </c>
      <c r="G115" s="24"/>
      <c r="H115" s="20" t="s">
        <v>467</v>
      </c>
    </row>
    <row r="116" s="1" customFormat="1" ht="17.6" customHeight="1" spans="1:8">
      <c r="A116" s="12"/>
      <c r="B116" s="9" t="s">
        <v>468</v>
      </c>
      <c r="C116" s="24" t="s">
        <v>469</v>
      </c>
      <c r="D116" s="24" t="s">
        <v>470</v>
      </c>
      <c r="E116" s="24" t="s">
        <v>471</v>
      </c>
      <c r="F116" s="10" t="e">
        <f t="shared" si="3"/>
        <v>#VALUE!</v>
      </c>
      <c r="G116" s="24"/>
      <c r="H116" s="20" t="s">
        <v>432</v>
      </c>
    </row>
    <row r="117" s="1" customFormat="1" ht="34" customHeight="1" spans="1:8">
      <c r="A117" s="12"/>
      <c r="B117" s="9" t="s">
        <v>472</v>
      </c>
      <c r="C117" s="24" t="s">
        <v>473</v>
      </c>
      <c r="D117" s="24" t="s">
        <v>474</v>
      </c>
      <c r="E117" s="24" t="s">
        <v>475</v>
      </c>
      <c r="F117" s="10" t="e">
        <f t="shared" si="3"/>
        <v>#VALUE!</v>
      </c>
      <c r="G117" s="24"/>
      <c r="H117" s="21" t="s">
        <v>437</v>
      </c>
    </row>
    <row r="118" s="1" customFormat="1" ht="34" customHeight="1" spans="1:8">
      <c r="A118" s="12"/>
      <c r="B118" s="9" t="s">
        <v>476</v>
      </c>
      <c r="C118" s="24" t="s">
        <v>477</v>
      </c>
      <c r="D118" s="24" t="s">
        <v>478</v>
      </c>
      <c r="E118" s="24" t="s">
        <v>479</v>
      </c>
      <c r="F118" s="10" t="e">
        <f t="shared" si="3"/>
        <v>#VALUE!</v>
      </c>
      <c r="G118" s="24"/>
      <c r="H118" s="20" t="s">
        <v>442</v>
      </c>
    </row>
    <row r="119" s="1" customFormat="1" ht="36" customHeight="1" spans="1:8">
      <c r="A119" s="12"/>
      <c r="B119" s="9" t="s">
        <v>480</v>
      </c>
      <c r="C119" s="10" t="s">
        <v>481</v>
      </c>
      <c r="D119" s="24" t="s">
        <v>482</v>
      </c>
      <c r="E119" s="24" t="s">
        <v>483</v>
      </c>
      <c r="F119" s="10" t="e">
        <f t="shared" si="3"/>
        <v>#VALUE!</v>
      </c>
      <c r="G119" s="10"/>
      <c r="H119" s="20" t="s">
        <v>57</v>
      </c>
    </row>
    <row r="120" s="1" customFormat="1" ht="18" customHeight="1" spans="1:8">
      <c r="A120" s="12"/>
      <c r="B120" s="9" t="s">
        <v>484</v>
      </c>
      <c r="C120" s="10" t="s">
        <v>485</v>
      </c>
      <c r="D120" s="24" t="s">
        <v>486</v>
      </c>
      <c r="E120" s="24" t="s">
        <v>487</v>
      </c>
      <c r="F120" s="10" t="e">
        <f t="shared" si="3"/>
        <v>#VALUE!</v>
      </c>
      <c r="G120" s="10"/>
      <c r="H120" s="20" t="s">
        <v>451</v>
      </c>
    </row>
    <row r="121" s="1" customFormat="1" ht="18" customHeight="1" spans="1:8">
      <c r="A121" s="15"/>
      <c r="B121" s="9" t="s">
        <v>488</v>
      </c>
      <c r="C121" s="10" t="s">
        <v>78</v>
      </c>
      <c r="D121" s="24" t="s">
        <v>489</v>
      </c>
      <c r="E121" s="24" t="s">
        <v>490</v>
      </c>
      <c r="F121" s="10" t="e">
        <f t="shared" si="3"/>
        <v>#VALUE!</v>
      </c>
      <c r="G121" s="10" t="s">
        <v>81</v>
      </c>
      <c r="H121" s="20"/>
    </row>
    <row r="122" s="1" customFormat="1" ht="17.6" customHeight="1" spans="1:8">
      <c r="A122" s="19" t="s">
        <v>491</v>
      </c>
      <c r="B122" s="9" t="s">
        <v>492</v>
      </c>
      <c r="C122" s="24" t="s">
        <v>493</v>
      </c>
      <c r="D122" s="24" t="s">
        <v>494</v>
      </c>
      <c r="E122" s="24" t="s">
        <v>495</v>
      </c>
      <c r="F122" s="10" t="e">
        <f t="shared" si="3"/>
        <v>#VALUE!</v>
      </c>
      <c r="G122" s="24"/>
      <c r="H122" s="20" t="s">
        <v>206</v>
      </c>
    </row>
    <row r="123" s="1" customFormat="1" ht="18" customHeight="1" spans="1:8">
      <c r="A123" s="15"/>
      <c r="B123" s="9" t="s">
        <v>496</v>
      </c>
      <c r="C123" s="10" t="s">
        <v>78</v>
      </c>
      <c r="D123" s="24" t="s">
        <v>497</v>
      </c>
      <c r="E123" s="24" t="s">
        <v>498</v>
      </c>
      <c r="F123" s="10" t="e">
        <f t="shared" si="3"/>
        <v>#VALUE!</v>
      </c>
      <c r="G123" s="10" t="s">
        <v>81</v>
      </c>
      <c r="H123" s="20">
        <v>630</v>
      </c>
    </row>
    <row r="124" s="1" customFormat="1" ht="18" customHeight="1" spans="1:8">
      <c r="A124" s="19" t="s">
        <v>499</v>
      </c>
      <c r="B124" s="9" t="s">
        <v>500</v>
      </c>
      <c r="C124" s="10" t="s">
        <v>78</v>
      </c>
      <c r="D124" s="24" t="s">
        <v>501</v>
      </c>
      <c r="E124" s="24" t="s">
        <v>502</v>
      </c>
      <c r="F124" s="10" t="e">
        <f t="shared" si="3"/>
        <v>#VALUE!</v>
      </c>
      <c r="G124" s="10" t="s">
        <v>81</v>
      </c>
      <c r="H124" s="20">
        <v>630</v>
      </c>
    </row>
    <row r="125" s="1" customFormat="1" ht="36" customHeight="1" spans="1:8">
      <c r="A125" s="12"/>
      <c r="B125" s="9" t="s">
        <v>503</v>
      </c>
      <c r="C125" s="10" t="s">
        <v>504</v>
      </c>
      <c r="D125" s="24" t="s">
        <v>505</v>
      </c>
      <c r="E125" s="24" t="s">
        <v>506</v>
      </c>
      <c r="F125" s="10" t="e">
        <f t="shared" si="3"/>
        <v>#VALUE!</v>
      </c>
      <c r="G125" s="10"/>
      <c r="H125" s="20" t="s">
        <v>26</v>
      </c>
    </row>
    <row r="126" s="1" customFormat="1" ht="36" customHeight="1" spans="1:8">
      <c r="A126" s="12"/>
      <c r="B126" s="9" t="s">
        <v>507</v>
      </c>
      <c r="C126" s="10" t="s">
        <v>508</v>
      </c>
      <c r="D126" s="24" t="s">
        <v>509</v>
      </c>
      <c r="E126" s="24" t="s">
        <v>510</v>
      </c>
      <c r="F126" s="10" t="e">
        <f t="shared" si="3"/>
        <v>#VALUE!</v>
      </c>
      <c r="G126" s="10"/>
      <c r="H126" s="20" t="s">
        <v>399</v>
      </c>
    </row>
    <row r="127" s="1" customFormat="1" ht="17.6" customHeight="1" spans="1:8">
      <c r="A127" s="12"/>
      <c r="B127" s="9" t="s">
        <v>511</v>
      </c>
      <c r="C127" s="24" t="s">
        <v>512</v>
      </c>
      <c r="D127" s="24" t="s">
        <v>513</v>
      </c>
      <c r="E127" s="24" t="s">
        <v>514</v>
      </c>
      <c r="F127" s="10" t="e">
        <f t="shared" si="3"/>
        <v>#VALUE!</v>
      </c>
      <c r="G127" s="24"/>
      <c r="H127" s="20" t="s">
        <v>404</v>
      </c>
    </row>
    <row r="128" s="1" customFormat="1" ht="18" customHeight="1" spans="1:8">
      <c r="A128" s="12"/>
      <c r="B128" s="9" t="s">
        <v>515</v>
      </c>
      <c r="C128" s="10" t="s">
        <v>78</v>
      </c>
      <c r="D128" s="24" t="s">
        <v>516</v>
      </c>
      <c r="E128" s="24" t="s">
        <v>517</v>
      </c>
      <c r="F128" s="10" t="e">
        <f t="shared" si="3"/>
        <v>#VALUE!</v>
      </c>
      <c r="G128" s="10" t="s">
        <v>81</v>
      </c>
      <c r="H128" s="20">
        <v>160</v>
      </c>
    </row>
    <row r="129" s="1" customFormat="1" ht="18" customHeight="1" spans="1:8">
      <c r="A129" s="12"/>
      <c r="B129" s="9" t="s">
        <v>518</v>
      </c>
      <c r="C129" s="10" t="s">
        <v>409</v>
      </c>
      <c r="D129" s="24" t="s">
        <v>519</v>
      </c>
      <c r="E129" s="24" t="s">
        <v>520</v>
      </c>
      <c r="F129" s="10" t="e">
        <f t="shared" si="3"/>
        <v>#VALUE!</v>
      </c>
      <c r="G129" s="10" t="s">
        <v>409</v>
      </c>
      <c r="H129" s="20"/>
    </row>
    <row r="130" s="1" customFormat="1" ht="18" customHeight="1" spans="1:8">
      <c r="A130" s="15"/>
      <c r="B130" s="9" t="s">
        <v>521</v>
      </c>
      <c r="C130" s="10" t="s">
        <v>522</v>
      </c>
      <c r="D130" s="24" t="s">
        <v>523</v>
      </c>
      <c r="E130" s="24" t="s">
        <v>524</v>
      </c>
      <c r="F130" s="10" t="e">
        <f t="shared" si="3"/>
        <v>#VALUE!</v>
      </c>
      <c r="G130" s="10"/>
      <c r="H130" s="20" t="s">
        <v>525</v>
      </c>
    </row>
    <row r="131" s="1" customFormat="1" ht="18" customHeight="1" spans="1:8">
      <c r="A131" s="19" t="s">
        <v>526</v>
      </c>
      <c r="B131" s="9" t="s">
        <v>527</v>
      </c>
      <c r="C131" s="10" t="s">
        <v>78</v>
      </c>
      <c r="D131" s="24" t="s">
        <v>528</v>
      </c>
      <c r="E131" s="24" t="s">
        <v>529</v>
      </c>
      <c r="F131" s="10" t="e">
        <f t="shared" si="3"/>
        <v>#VALUE!</v>
      </c>
      <c r="G131" s="10" t="s">
        <v>81</v>
      </c>
      <c r="H131" s="20">
        <v>630</v>
      </c>
    </row>
    <row r="132" s="1" customFormat="1" ht="18" customHeight="1" spans="1:8">
      <c r="A132" s="12"/>
      <c r="B132" s="9" t="s">
        <v>530</v>
      </c>
      <c r="C132" s="10" t="s">
        <v>78</v>
      </c>
      <c r="D132" s="24" t="s">
        <v>531</v>
      </c>
      <c r="E132" s="24" t="s">
        <v>532</v>
      </c>
      <c r="F132" s="10" t="e">
        <f t="shared" si="3"/>
        <v>#VALUE!</v>
      </c>
      <c r="G132" s="10" t="s">
        <v>81</v>
      </c>
      <c r="H132" s="20">
        <v>630</v>
      </c>
    </row>
    <row r="133" s="1" customFormat="1" ht="17.6" customHeight="1" spans="1:8">
      <c r="A133" s="12"/>
      <c r="B133" s="9" t="s">
        <v>533</v>
      </c>
      <c r="C133" s="24" t="s">
        <v>534</v>
      </c>
      <c r="D133" s="24" t="s">
        <v>535</v>
      </c>
      <c r="E133" s="24" t="s">
        <v>536</v>
      </c>
      <c r="F133" s="10" t="e">
        <f t="shared" si="3"/>
        <v>#VALUE!</v>
      </c>
      <c r="G133" s="24"/>
      <c r="H133" s="20" t="s">
        <v>380</v>
      </c>
    </row>
    <row r="134" s="1" customFormat="1" ht="17.6" customHeight="1" spans="1:8">
      <c r="A134" s="15"/>
      <c r="B134" s="9" t="s">
        <v>537</v>
      </c>
      <c r="C134" s="24" t="s">
        <v>538</v>
      </c>
      <c r="D134" s="24" t="s">
        <v>539</v>
      </c>
      <c r="E134" s="24" t="s">
        <v>540</v>
      </c>
      <c r="F134" s="10" t="e">
        <f t="shared" si="3"/>
        <v>#VALUE!</v>
      </c>
      <c r="G134" s="24"/>
      <c r="H134" s="20" t="s">
        <v>380</v>
      </c>
    </row>
    <row r="135" s="1" customFormat="1" ht="34" customHeight="1" spans="1:8">
      <c r="A135" s="19" t="s">
        <v>541</v>
      </c>
      <c r="B135" s="9" t="s">
        <v>542</v>
      </c>
      <c r="C135" s="24" t="s">
        <v>543</v>
      </c>
      <c r="D135" s="24" t="s">
        <v>544</v>
      </c>
      <c r="E135" s="24" t="s">
        <v>545</v>
      </c>
      <c r="F135" s="10" t="e">
        <f t="shared" si="3"/>
        <v>#VALUE!</v>
      </c>
      <c r="G135" s="10"/>
      <c r="H135" s="24" t="s">
        <v>546</v>
      </c>
    </row>
    <row r="136" s="1" customFormat="1" ht="18" customHeight="1" spans="1:8">
      <c r="A136" s="12"/>
      <c r="B136" s="9" t="s">
        <v>547</v>
      </c>
      <c r="C136" s="10" t="s">
        <v>548</v>
      </c>
      <c r="D136" s="24" t="s">
        <v>549</v>
      </c>
      <c r="E136" s="24" t="s">
        <v>550</v>
      </c>
      <c r="F136" s="10" t="e">
        <f t="shared" si="3"/>
        <v>#VALUE!</v>
      </c>
      <c r="G136" s="10"/>
      <c r="H136" s="20" t="s">
        <v>525</v>
      </c>
    </row>
    <row r="137" s="1" customFormat="1" ht="18" customHeight="1" spans="1:8">
      <c r="A137" s="15"/>
      <c r="B137" s="9" t="s">
        <v>551</v>
      </c>
      <c r="C137" s="24" t="s">
        <v>78</v>
      </c>
      <c r="D137" s="24" t="s">
        <v>552</v>
      </c>
      <c r="E137" s="24" t="s">
        <v>553</v>
      </c>
      <c r="F137" s="10" t="e">
        <f t="shared" si="3"/>
        <v>#VALUE!</v>
      </c>
      <c r="G137" s="10" t="s">
        <v>81</v>
      </c>
      <c r="H137" s="24">
        <v>400</v>
      </c>
    </row>
    <row r="138" s="1" customFormat="1" ht="17.6" customHeight="1" spans="1:8">
      <c r="A138" s="20"/>
      <c r="B138" s="22"/>
      <c r="C138" s="24"/>
      <c r="D138" s="24"/>
      <c r="E138" s="24">
        <v>0</v>
      </c>
      <c r="F138" s="10">
        <f t="shared" si="3"/>
        <v>0</v>
      </c>
      <c r="G138" s="24"/>
      <c r="H138" s="10"/>
    </row>
    <row r="139" s="1" customFormat="1" spans="1:1">
      <c r="A139" s="2"/>
    </row>
    <row r="140" s="1" customFormat="1" spans="1:1">
      <c r="A140" s="2"/>
    </row>
    <row r="141" s="1" customFormat="1" ht="17.6" customHeight="1" spans="1:8">
      <c r="A141" s="4" t="s">
        <v>554</v>
      </c>
      <c r="B141" s="5"/>
      <c r="C141" s="5"/>
      <c r="D141" s="5"/>
      <c r="E141" s="5"/>
      <c r="F141" s="5"/>
      <c r="G141" s="5"/>
      <c r="H141" s="17"/>
    </row>
    <row r="142" s="1" customFormat="1" ht="17.6" customHeight="1" spans="1:8">
      <c r="A142" s="6" t="s">
        <v>1</v>
      </c>
      <c r="B142" s="7"/>
      <c r="C142" s="7"/>
      <c r="D142" s="7"/>
      <c r="E142" s="7"/>
      <c r="F142" s="7"/>
      <c r="G142" s="7"/>
      <c r="H142" s="18"/>
    </row>
    <row r="143" s="1" customFormat="1" ht="18" customHeight="1" spans="1:8">
      <c r="A143" s="8" t="s">
        <v>2</v>
      </c>
      <c r="B143" s="9" t="s">
        <v>3</v>
      </c>
      <c r="C143" s="10" t="s">
        <v>4</v>
      </c>
      <c r="D143" s="11" t="s">
        <v>5</v>
      </c>
      <c r="E143" s="11" t="s">
        <v>6</v>
      </c>
      <c r="F143" s="10" t="s">
        <v>7</v>
      </c>
      <c r="G143" s="10" t="s">
        <v>8</v>
      </c>
      <c r="H143" s="19" t="s">
        <v>9</v>
      </c>
    </row>
    <row r="144" s="1" customFormat="1" ht="17.6" customHeight="1" spans="1:7">
      <c r="A144" s="8"/>
      <c r="B144" s="9" t="s">
        <v>10</v>
      </c>
      <c r="C144" s="10"/>
      <c r="D144" s="10"/>
      <c r="E144" s="10"/>
      <c r="F144" s="10"/>
      <c r="G144" s="10"/>
    </row>
    <row r="145" s="1" customFormat="1" ht="20.1" customHeight="1" spans="1:8">
      <c r="A145" s="8" t="s">
        <v>42</v>
      </c>
      <c r="B145" s="9" t="s">
        <v>12</v>
      </c>
      <c r="C145" s="10" t="s">
        <v>555</v>
      </c>
      <c r="D145" s="10" t="s">
        <v>556</v>
      </c>
      <c r="E145" s="10" t="s">
        <v>557</v>
      </c>
      <c r="F145" s="10" t="e">
        <f>E145-D145</f>
        <v>#VALUE!</v>
      </c>
      <c r="G145" s="10" t="s">
        <v>558</v>
      </c>
      <c r="H145" s="19" t="s">
        <v>559</v>
      </c>
    </row>
    <row r="146" s="1" customFormat="1" ht="20.1" customHeight="1" spans="1:8">
      <c r="A146" s="12"/>
      <c r="B146" s="9" t="s">
        <v>17</v>
      </c>
      <c r="C146" s="10" t="s">
        <v>560</v>
      </c>
      <c r="D146" s="10" t="s">
        <v>561</v>
      </c>
      <c r="E146" s="10" t="s">
        <v>562</v>
      </c>
      <c r="F146" s="10" t="e">
        <f t="shared" ref="F146:F191" si="4">E146-D146</f>
        <v>#VALUE!</v>
      </c>
      <c r="G146" s="10" t="s">
        <v>558</v>
      </c>
      <c r="H146" s="20" t="s">
        <v>563</v>
      </c>
    </row>
    <row r="147" s="1" customFormat="1" ht="30" customHeight="1" spans="1:13">
      <c r="A147" s="12"/>
      <c r="B147" s="9" t="s">
        <v>22</v>
      </c>
      <c r="C147" s="10" t="s">
        <v>564</v>
      </c>
      <c r="D147" s="10" t="s">
        <v>565</v>
      </c>
      <c r="E147" s="10" t="s">
        <v>566</v>
      </c>
      <c r="F147" s="10" t="e">
        <f t="shared" si="4"/>
        <v>#VALUE!</v>
      </c>
      <c r="G147" s="10" t="s">
        <v>567</v>
      </c>
      <c r="H147" s="22"/>
      <c r="I147"/>
      <c r="J147"/>
      <c r="K147"/>
      <c r="L147"/>
      <c r="M147"/>
    </row>
    <row r="148" s="1" customFormat="1" ht="33.95" customHeight="1" spans="1:13">
      <c r="A148" s="12"/>
      <c r="B148" s="9" t="s">
        <v>27</v>
      </c>
      <c r="C148" s="10" t="s">
        <v>568</v>
      </c>
      <c r="D148" s="10" t="s">
        <v>569</v>
      </c>
      <c r="E148" s="10" t="s">
        <v>570</v>
      </c>
      <c r="F148" s="10" t="e">
        <f t="shared" si="4"/>
        <v>#VALUE!</v>
      </c>
      <c r="G148" s="10" t="s">
        <v>571</v>
      </c>
      <c r="H148" s="22"/>
      <c r="I148"/>
      <c r="J148"/>
      <c r="K148"/>
      <c r="L148"/>
      <c r="M148"/>
    </row>
    <row r="149" s="1" customFormat="1" ht="20.1" customHeight="1" spans="1:13">
      <c r="A149" s="12"/>
      <c r="B149" s="10" t="s">
        <v>32</v>
      </c>
      <c r="C149" s="10" t="s">
        <v>78</v>
      </c>
      <c r="D149" s="10" t="s">
        <v>572</v>
      </c>
      <c r="E149" s="10" t="s">
        <v>573</v>
      </c>
      <c r="F149" s="10" t="e">
        <f t="shared" si="4"/>
        <v>#VALUE!</v>
      </c>
      <c r="G149" s="10" t="s">
        <v>81</v>
      </c>
      <c r="H149" s="22"/>
      <c r="I149"/>
      <c r="J149"/>
      <c r="K149"/>
      <c r="L149"/>
      <c r="M149"/>
    </row>
    <row r="150" s="1" customFormat="1" ht="20.1" customHeight="1" spans="1:13">
      <c r="A150" s="15"/>
      <c r="B150" s="10" t="s">
        <v>37</v>
      </c>
      <c r="C150" s="10" t="s">
        <v>78</v>
      </c>
      <c r="D150" s="10" t="s">
        <v>574</v>
      </c>
      <c r="E150" s="10" t="s">
        <v>575</v>
      </c>
      <c r="F150" s="10" t="e">
        <f t="shared" si="4"/>
        <v>#VALUE!</v>
      </c>
      <c r="G150" s="10" t="s">
        <v>81</v>
      </c>
      <c r="H150" s="22"/>
      <c r="I150"/>
      <c r="J150"/>
      <c r="K150"/>
      <c r="L150"/>
      <c r="M150"/>
    </row>
    <row r="151" s="1" customFormat="1" ht="20.1" customHeight="1" spans="1:13">
      <c r="A151" s="19" t="s">
        <v>82</v>
      </c>
      <c r="B151" s="9" t="s">
        <v>43</v>
      </c>
      <c r="C151" s="10" t="s">
        <v>576</v>
      </c>
      <c r="D151" s="10" t="s">
        <v>577</v>
      </c>
      <c r="E151" s="10" t="s">
        <v>578</v>
      </c>
      <c r="F151" s="10" t="e">
        <f t="shared" si="4"/>
        <v>#VALUE!</v>
      </c>
      <c r="G151" s="10" t="s">
        <v>579</v>
      </c>
      <c r="H151" s="22"/>
      <c r="I151"/>
      <c r="J151"/>
      <c r="K151"/>
      <c r="L151"/>
      <c r="M151"/>
    </row>
    <row r="152" s="1" customFormat="1" ht="20.1" customHeight="1" spans="1:13">
      <c r="A152" s="12"/>
      <c r="B152" s="9" t="s">
        <v>48</v>
      </c>
      <c r="C152" s="10" t="s">
        <v>580</v>
      </c>
      <c r="D152" s="10" t="s">
        <v>581</v>
      </c>
      <c r="E152" s="10" t="s">
        <v>582</v>
      </c>
      <c r="F152" s="10" t="e">
        <f t="shared" si="4"/>
        <v>#VALUE!</v>
      </c>
      <c r="G152" s="10"/>
      <c r="H152" s="22" t="s">
        <v>583</v>
      </c>
      <c r="I152"/>
      <c r="J152"/>
      <c r="K152"/>
      <c r="L152"/>
      <c r="M152"/>
    </row>
    <row r="153" s="1" customFormat="1" ht="20.1" customHeight="1" spans="1:13">
      <c r="A153" s="12"/>
      <c r="B153" s="9" t="s">
        <v>53</v>
      </c>
      <c r="C153" s="24" t="s">
        <v>584</v>
      </c>
      <c r="D153" s="10" t="s">
        <v>585</v>
      </c>
      <c r="E153" s="10" t="s">
        <v>586</v>
      </c>
      <c r="F153" s="10" t="e">
        <f t="shared" si="4"/>
        <v>#VALUE!</v>
      </c>
      <c r="G153" s="24"/>
      <c r="H153" s="22" t="s">
        <v>587</v>
      </c>
      <c r="I153"/>
      <c r="J153"/>
      <c r="K153"/>
      <c r="L153"/>
      <c r="M153"/>
    </row>
    <row r="154" s="1" customFormat="1" ht="20.1" customHeight="1" spans="1:13">
      <c r="A154" s="12"/>
      <c r="B154" s="9" t="s">
        <v>58</v>
      </c>
      <c r="C154" s="24" t="s">
        <v>588</v>
      </c>
      <c r="D154" s="10" t="s">
        <v>589</v>
      </c>
      <c r="E154" s="10" t="s">
        <v>590</v>
      </c>
      <c r="F154" s="10" t="e">
        <f t="shared" si="4"/>
        <v>#VALUE!</v>
      </c>
      <c r="G154" s="24"/>
      <c r="H154" s="22"/>
      <c r="I154"/>
      <c r="J154"/>
      <c r="K154"/>
      <c r="L154"/>
      <c r="M154"/>
    </row>
    <row r="155" s="1" customFormat="1" ht="20.1" customHeight="1" spans="1:13">
      <c r="A155" s="12"/>
      <c r="B155" s="10" t="s">
        <v>63</v>
      </c>
      <c r="C155" s="10" t="s">
        <v>78</v>
      </c>
      <c r="D155" s="10" t="s">
        <v>591</v>
      </c>
      <c r="E155" s="10" t="s">
        <v>592</v>
      </c>
      <c r="F155" s="10" t="e">
        <f t="shared" si="4"/>
        <v>#VALUE!</v>
      </c>
      <c r="G155" s="10" t="s">
        <v>81</v>
      </c>
      <c r="H155" s="22"/>
      <c r="I155"/>
      <c r="J155"/>
      <c r="K155"/>
      <c r="L155"/>
      <c r="M155"/>
    </row>
    <row r="156" s="1" customFormat="1" ht="20.1" customHeight="1" spans="1:13">
      <c r="A156" s="15"/>
      <c r="B156" s="10" t="s">
        <v>68</v>
      </c>
      <c r="C156" s="10" t="s">
        <v>78</v>
      </c>
      <c r="D156" s="10" t="s">
        <v>593</v>
      </c>
      <c r="E156" s="10" t="s">
        <v>594</v>
      </c>
      <c r="F156" s="10" t="e">
        <f t="shared" si="4"/>
        <v>#VALUE!</v>
      </c>
      <c r="G156" s="10" t="s">
        <v>81</v>
      </c>
      <c r="H156" s="22"/>
      <c r="I156"/>
      <c r="J156"/>
      <c r="K156"/>
      <c r="L156"/>
      <c r="M156"/>
    </row>
    <row r="157" s="1" customFormat="1" ht="20.1" customHeight="1" spans="1:13">
      <c r="A157" s="19" t="s">
        <v>119</v>
      </c>
      <c r="B157" s="9" t="s">
        <v>83</v>
      </c>
      <c r="C157" s="24" t="s">
        <v>595</v>
      </c>
      <c r="D157" s="10" t="s">
        <v>596</v>
      </c>
      <c r="E157" s="10" t="s">
        <v>597</v>
      </c>
      <c r="F157" s="10" t="e">
        <f t="shared" si="4"/>
        <v>#VALUE!</v>
      </c>
      <c r="G157" s="10" t="s">
        <v>579</v>
      </c>
      <c r="H157" s="20" t="s">
        <v>598</v>
      </c>
      <c r="I157"/>
      <c r="J157"/>
      <c r="K157"/>
      <c r="L157"/>
      <c r="M157"/>
    </row>
    <row r="158" s="1" customFormat="1" ht="20.1" customHeight="1" spans="1:8">
      <c r="A158" s="12"/>
      <c r="B158" s="9" t="s">
        <v>88</v>
      </c>
      <c r="C158" s="24" t="s">
        <v>599</v>
      </c>
      <c r="D158" s="10" t="s">
        <v>600</v>
      </c>
      <c r="E158" s="10" t="s">
        <v>601</v>
      </c>
      <c r="F158" s="10" t="e">
        <f t="shared" si="4"/>
        <v>#VALUE!</v>
      </c>
      <c r="G158" s="24"/>
      <c r="H158" s="22"/>
    </row>
    <row r="159" s="1" customFormat="1" ht="20.1" customHeight="1" spans="1:8">
      <c r="A159" s="12"/>
      <c r="B159" s="9" t="s">
        <v>93</v>
      </c>
      <c r="C159" s="24" t="s">
        <v>602</v>
      </c>
      <c r="D159" s="10" t="s">
        <v>603</v>
      </c>
      <c r="E159" s="10" t="s">
        <v>604</v>
      </c>
      <c r="F159" s="10" t="e">
        <f t="shared" si="4"/>
        <v>#VALUE!</v>
      </c>
      <c r="G159" s="24"/>
      <c r="H159" s="22"/>
    </row>
    <row r="160" s="1" customFormat="1" ht="29.1" customHeight="1" spans="1:8">
      <c r="A160" s="12"/>
      <c r="B160" s="9" t="s">
        <v>98</v>
      </c>
      <c r="C160" s="24" t="s">
        <v>605</v>
      </c>
      <c r="D160" s="10" t="s">
        <v>606</v>
      </c>
      <c r="E160" s="10" t="s">
        <v>607</v>
      </c>
      <c r="F160" s="10" t="e">
        <f t="shared" si="4"/>
        <v>#VALUE!</v>
      </c>
      <c r="G160" s="24"/>
      <c r="H160" s="22"/>
    </row>
    <row r="161" s="1" customFormat="1" ht="18" customHeight="1" spans="1:8">
      <c r="A161" s="12"/>
      <c r="B161" s="10" t="s">
        <v>103</v>
      </c>
      <c r="C161" s="10" t="s">
        <v>78</v>
      </c>
      <c r="D161" s="10" t="s">
        <v>608</v>
      </c>
      <c r="E161" s="10" t="s">
        <v>609</v>
      </c>
      <c r="F161" s="10" t="e">
        <f t="shared" si="4"/>
        <v>#VALUE!</v>
      </c>
      <c r="G161" s="10" t="s">
        <v>81</v>
      </c>
      <c r="H161" s="22"/>
    </row>
    <row r="162" s="1" customFormat="1" ht="18" customHeight="1" spans="1:8">
      <c r="A162" s="15"/>
      <c r="B162" s="10" t="s">
        <v>108</v>
      </c>
      <c r="C162" s="10" t="s">
        <v>78</v>
      </c>
      <c r="D162" s="10" t="s">
        <v>610</v>
      </c>
      <c r="E162" s="10" t="s">
        <v>611</v>
      </c>
      <c r="F162" s="10" t="e">
        <f t="shared" si="4"/>
        <v>#VALUE!</v>
      </c>
      <c r="G162" s="10" t="s">
        <v>81</v>
      </c>
      <c r="H162" s="22"/>
    </row>
    <row r="163" s="1" customFormat="1" ht="17.6" customHeight="1" spans="1:8">
      <c r="A163" s="19" t="s">
        <v>147</v>
      </c>
      <c r="B163" s="9" t="s">
        <v>120</v>
      </c>
      <c r="C163" s="24" t="s">
        <v>612</v>
      </c>
      <c r="D163" s="10" t="s">
        <v>613</v>
      </c>
      <c r="E163" s="10" t="s">
        <v>614</v>
      </c>
      <c r="F163" s="10" t="e">
        <f t="shared" si="4"/>
        <v>#VALUE!</v>
      </c>
      <c r="G163" s="24"/>
      <c r="H163" s="22" t="s">
        <v>615</v>
      </c>
    </row>
    <row r="164" s="1" customFormat="1" ht="17.6" customHeight="1" spans="1:8">
      <c r="A164" s="12"/>
      <c r="B164" s="9" t="s">
        <v>125</v>
      </c>
      <c r="C164" s="24" t="s">
        <v>616</v>
      </c>
      <c r="D164" s="10" t="s">
        <v>617</v>
      </c>
      <c r="E164" s="10" t="s">
        <v>618</v>
      </c>
      <c r="F164" s="10" t="e">
        <f t="shared" si="4"/>
        <v>#VALUE!</v>
      </c>
      <c r="G164" s="24"/>
      <c r="H164" s="22" t="s">
        <v>619</v>
      </c>
    </row>
    <row r="165" s="1" customFormat="1" ht="34" customHeight="1" spans="1:8">
      <c r="A165" s="12"/>
      <c r="B165" s="9" t="s">
        <v>130</v>
      </c>
      <c r="C165" s="24" t="s">
        <v>620</v>
      </c>
      <c r="D165" s="10" t="s">
        <v>621</v>
      </c>
      <c r="E165" s="10" t="s">
        <v>622</v>
      </c>
      <c r="F165" s="10" t="e">
        <f t="shared" si="4"/>
        <v>#VALUE!</v>
      </c>
      <c r="G165" s="24"/>
      <c r="H165" s="22" t="s">
        <v>623</v>
      </c>
    </row>
    <row r="166" s="1" customFormat="1" ht="17.6" customHeight="1" spans="1:8">
      <c r="A166" s="12"/>
      <c r="B166" s="9" t="s">
        <v>135</v>
      </c>
      <c r="C166" s="24" t="s">
        <v>624</v>
      </c>
      <c r="D166" s="10" t="s">
        <v>625</v>
      </c>
      <c r="E166" s="10" t="s">
        <v>626</v>
      </c>
      <c r="F166" s="10" t="e">
        <f t="shared" si="4"/>
        <v>#VALUE!</v>
      </c>
      <c r="G166" s="24"/>
      <c r="H166" s="22"/>
    </row>
    <row r="167" s="1" customFormat="1" ht="17.6" customHeight="1" spans="1:8">
      <c r="A167" s="12"/>
      <c r="B167" s="9" t="s">
        <v>139</v>
      </c>
      <c r="C167" s="24" t="s">
        <v>627</v>
      </c>
      <c r="D167" s="10" t="s">
        <v>628</v>
      </c>
      <c r="E167" s="10" t="s">
        <v>629</v>
      </c>
      <c r="F167" s="10" t="e">
        <f t="shared" si="4"/>
        <v>#VALUE!</v>
      </c>
      <c r="G167" s="24"/>
      <c r="H167" s="22"/>
    </row>
    <row r="168" s="1" customFormat="1" ht="17.6" customHeight="1" spans="1:8">
      <c r="A168" s="12"/>
      <c r="B168" s="9" t="s">
        <v>144</v>
      </c>
      <c r="C168" s="24" t="s">
        <v>630</v>
      </c>
      <c r="D168" s="10" t="s">
        <v>631</v>
      </c>
      <c r="E168" s="10" t="s">
        <v>632</v>
      </c>
      <c r="F168" s="10" t="e">
        <f t="shared" si="4"/>
        <v>#VALUE!</v>
      </c>
      <c r="G168" s="24"/>
      <c r="H168" s="20" t="s">
        <v>559</v>
      </c>
    </row>
    <row r="169" s="1" customFormat="1" ht="18" customHeight="1" spans="1:8">
      <c r="A169" s="12"/>
      <c r="B169" s="9" t="s">
        <v>633</v>
      </c>
      <c r="C169" s="10" t="s">
        <v>634</v>
      </c>
      <c r="D169" s="10" t="s">
        <v>635</v>
      </c>
      <c r="E169" s="10" t="s">
        <v>636</v>
      </c>
      <c r="F169" s="10" t="e">
        <f t="shared" si="4"/>
        <v>#VALUE!</v>
      </c>
      <c r="G169" s="10"/>
      <c r="H169" s="20"/>
    </row>
    <row r="170" s="1" customFormat="1" ht="18" customHeight="1" spans="1:8">
      <c r="A170" s="15"/>
      <c r="B170" s="9" t="s">
        <v>637</v>
      </c>
      <c r="C170" s="10" t="s">
        <v>638</v>
      </c>
      <c r="D170" s="10" t="s">
        <v>639</v>
      </c>
      <c r="E170" s="10" t="s">
        <v>640</v>
      </c>
      <c r="F170" s="10" t="e">
        <f t="shared" si="4"/>
        <v>#VALUE!</v>
      </c>
      <c r="G170" s="10" t="s">
        <v>81</v>
      </c>
      <c r="H170" s="20"/>
    </row>
    <row r="171" s="1" customFormat="1" ht="18" customHeight="1" spans="1:8">
      <c r="A171" s="19" t="s">
        <v>181</v>
      </c>
      <c r="B171" s="9" t="s">
        <v>148</v>
      </c>
      <c r="C171" s="24" t="s">
        <v>641</v>
      </c>
      <c r="D171" s="10" t="s">
        <v>642</v>
      </c>
      <c r="E171" s="10" t="s">
        <v>643</v>
      </c>
      <c r="F171" s="10" t="e">
        <f t="shared" si="4"/>
        <v>#VALUE!</v>
      </c>
      <c r="G171" s="10" t="s">
        <v>81</v>
      </c>
      <c r="H171" s="20" t="s">
        <v>598</v>
      </c>
    </row>
    <row r="172" s="1" customFormat="1" ht="18" customHeight="1" spans="1:8">
      <c r="A172" s="12"/>
      <c r="B172" s="9" t="s">
        <v>153</v>
      </c>
      <c r="C172" s="24" t="s">
        <v>78</v>
      </c>
      <c r="D172" s="10" t="s">
        <v>644</v>
      </c>
      <c r="E172" s="10" t="s">
        <v>645</v>
      </c>
      <c r="F172" s="10" t="e">
        <f t="shared" si="4"/>
        <v>#VALUE!</v>
      </c>
      <c r="G172" s="10" t="s">
        <v>81</v>
      </c>
      <c r="H172" s="20" t="s">
        <v>646</v>
      </c>
    </row>
    <row r="173" s="1" customFormat="1" ht="34" customHeight="1" spans="1:8">
      <c r="A173" s="12"/>
      <c r="B173" s="9" t="s">
        <v>158</v>
      </c>
      <c r="C173" s="24" t="s">
        <v>647</v>
      </c>
      <c r="D173" s="10" t="s">
        <v>648</v>
      </c>
      <c r="E173" s="10" t="s">
        <v>649</v>
      </c>
      <c r="F173" s="10" t="e">
        <f t="shared" si="4"/>
        <v>#VALUE!</v>
      </c>
      <c r="G173" s="24"/>
      <c r="H173" s="20" t="s">
        <v>650</v>
      </c>
    </row>
    <row r="174" s="1" customFormat="1" ht="18" customHeight="1" spans="1:8">
      <c r="A174" s="12"/>
      <c r="B174" s="9" t="s">
        <v>163</v>
      </c>
      <c r="C174" s="10" t="s">
        <v>401</v>
      </c>
      <c r="D174" s="10" t="s">
        <v>651</v>
      </c>
      <c r="E174" s="10" t="s">
        <v>652</v>
      </c>
      <c r="F174" s="10" t="e">
        <f t="shared" si="4"/>
        <v>#VALUE!</v>
      </c>
      <c r="G174" s="10"/>
      <c r="H174" s="20"/>
    </row>
    <row r="175" s="1" customFormat="1" ht="18" customHeight="1" spans="1:8">
      <c r="A175" s="12"/>
      <c r="B175" s="10" t="s">
        <v>169</v>
      </c>
      <c r="C175" s="25" t="s">
        <v>653</v>
      </c>
      <c r="D175" s="10" t="s">
        <v>654</v>
      </c>
      <c r="E175" s="10" t="s">
        <v>655</v>
      </c>
      <c r="F175" s="10" t="e">
        <f t="shared" si="4"/>
        <v>#VALUE!</v>
      </c>
      <c r="G175" s="10"/>
      <c r="H175" s="20"/>
    </row>
    <row r="176" s="1" customFormat="1" ht="18" customHeight="1" spans="1:8">
      <c r="A176" s="15"/>
      <c r="B176" s="10" t="s">
        <v>174</v>
      </c>
      <c r="C176" s="10" t="s">
        <v>78</v>
      </c>
      <c r="D176" s="10" t="s">
        <v>656</v>
      </c>
      <c r="E176" s="10" t="s">
        <v>657</v>
      </c>
      <c r="F176" s="10" t="e">
        <f t="shared" si="4"/>
        <v>#VALUE!</v>
      </c>
      <c r="G176" s="10" t="s">
        <v>81</v>
      </c>
      <c r="H176" s="20"/>
    </row>
    <row r="177" s="1" customFormat="1" ht="17.6" customHeight="1" spans="1:8">
      <c r="A177" s="19" t="s">
        <v>658</v>
      </c>
      <c r="B177" s="9" t="s">
        <v>182</v>
      </c>
      <c r="C177" s="24" t="s">
        <v>659</v>
      </c>
      <c r="D177" s="10" t="s">
        <v>660</v>
      </c>
      <c r="E177" s="10" t="s">
        <v>661</v>
      </c>
      <c r="F177" s="10" t="e">
        <f t="shared" si="4"/>
        <v>#VALUE!</v>
      </c>
      <c r="G177" s="24"/>
      <c r="H177" s="20" t="s">
        <v>662</v>
      </c>
    </row>
    <row r="178" s="1" customFormat="1" ht="36" customHeight="1" spans="1:8">
      <c r="A178" s="12"/>
      <c r="B178" s="9" t="s">
        <v>187</v>
      </c>
      <c r="C178" s="10" t="s">
        <v>663</v>
      </c>
      <c r="D178" s="10" t="s">
        <v>664</v>
      </c>
      <c r="E178" s="10" t="s">
        <v>665</v>
      </c>
      <c r="F178" s="10" t="e">
        <f t="shared" si="4"/>
        <v>#VALUE!</v>
      </c>
      <c r="G178" s="10"/>
      <c r="H178" s="22"/>
    </row>
    <row r="179" s="1" customFormat="1" ht="17.6" customHeight="1" spans="1:8">
      <c r="A179" s="12"/>
      <c r="B179" s="9" t="s">
        <v>666</v>
      </c>
      <c r="C179" s="24" t="s">
        <v>667</v>
      </c>
      <c r="D179" s="10" t="s">
        <v>668</v>
      </c>
      <c r="E179" s="10" t="s">
        <v>669</v>
      </c>
      <c r="F179" s="10" t="e">
        <f t="shared" si="4"/>
        <v>#VALUE!</v>
      </c>
      <c r="G179" s="24"/>
      <c r="H179" s="22"/>
    </row>
    <row r="180" s="1" customFormat="1" ht="17.6" customHeight="1" spans="1:8">
      <c r="A180" s="12"/>
      <c r="B180" s="9" t="s">
        <v>670</v>
      </c>
      <c r="C180" s="24" t="s">
        <v>671</v>
      </c>
      <c r="D180" s="10" t="s">
        <v>672</v>
      </c>
      <c r="E180" s="10" t="s">
        <v>673</v>
      </c>
      <c r="F180" s="10" t="e">
        <f t="shared" si="4"/>
        <v>#VALUE!</v>
      </c>
      <c r="G180" s="24" t="s">
        <v>81</v>
      </c>
      <c r="H180" s="22"/>
    </row>
    <row r="181" s="1" customFormat="1" ht="17.6" customHeight="1" spans="1:8">
      <c r="A181" s="12"/>
      <c r="B181" s="9" t="s">
        <v>674</v>
      </c>
      <c r="C181" s="24" t="s">
        <v>675</v>
      </c>
      <c r="D181" s="10" t="s">
        <v>676</v>
      </c>
      <c r="E181" s="10" t="s">
        <v>677</v>
      </c>
      <c r="F181" s="10" t="e">
        <f t="shared" si="4"/>
        <v>#VALUE!</v>
      </c>
      <c r="G181" s="24"/>
      <c r="H181" s="22"/>
    </row>
    <row r="182" s="1" customFormat="1" ht="18" customHeight="1" spans="1:8">
      <c r="A182" s="12"/>
      <c r="B182" s="10" t="s">
        <v>678</v>
      </c>
      <c r="C182" s="10" t="s">
        <v>679</v>
      </c>
      <c r="D182" s="10" t="s">
        <v>680</v>
      </c>
      <c r="E182" s="10" t="s">
        <v>681</v>
      </c>
      <c r="F182" s="10" t="e">
        <f t="shared" si="4"/>
        <v>#VALUE!</v>
      </c>
      <c r="G182" s="24" t="s">
        <v>81</v>
      </c>
      <c r="H182" s="22"/>
    </row>
    <row r="183" s="1" customFormat="1" ht="18" customHeight="1" spans="1:8">
      <c r="A183" s="15"/>
      <c r="B183" s="10" t="s">
        <v>682</v>
      </c>
      <c r="C183" s="10" t="s">
        <v>78</v>
      </c>
      <c r="D183" s="10" t="s">
        <v>683</v>
      </c>
      <c r="E183" s="10" t="s">
        <v>684</v>
      </c>
      <c r="F183" s="10" t="e">
        <f t="shared" si="4"/>
        <v>#VALUE!</v>
      </c>
      <c r="G183" s="24" t="s">
        <v>81</v>
      </c>
      <c r="H183" s="22"/>
    </row>
    <row r="184" s="1" customFormat="1" ht="17.6" customHeight="1" spans="1:8">
      <c r="A184" s="19" t="s">
        <v>685</v>
      </c>
      <c r="B184" s="9" t="s">
        <v>686</v>
      </c>
      <c r="C184" s="24" t="s">
        <v>687</v>
      </c>
      <c r="D184" s="10" t="s">
        <v>688</v>
      </c>
      <c r="E184" s="10" t="s">
        <v>689</v>
      </c>
      <c r="F184" s="10" t="e">
        <f t="shared" si="4"/>
        <v>#VALUE!</v>
      </c>
      <c r="G184" s="24"/>
      <c r="H184" s="26" t="s">
        <v>690</v>
      </c>
    </row>
    <row r="185" s="1" customFormat="1" ht="17.6" customHeight="1" spans="1:8">
      <c r="A185" s="12"/>
      <c r="B185" s="9" t="s">
        <v>691</v>
      </c>
      <c r="C185" s="24" t="s">
        <v>692</v>
      </c>
      <c r="D185" s="10" t="s">
        <v>693</v>
      </c>
      <c r="E185" s="10" t="s">
        <v>694</v>
      </c>
      <c r="F185" s="10" t="e">
        <f t="shared" si="4"/>
        <v>#VALUE!</v>
      </c>
      <c r="G185" s="27"/>
      <c r="H185" s="26" t="s">
        <v>695</v>
      </c>
    </row>
    <row r="186" s="1" customFormat="1" ht="36" customHeight="1" spans="1:8">
      <c r="A186" s="12"/>
      <c r="B186" s="9" t="s">
        <v>696</v>
      </c>
      <c r="C186" s="10" t="s">
        <v>697</v>
      </c>
      <c r="D186" s="10" t="s">
        <v>698</v>
      </c>
      <c r="E186" s="10" t="s">
        <v>699</v>
      </c>
      <c r="F186" s="10" t="e">
        <f t="shared" si="4"/>
        <v>#VALUE!</v>
      </c>
      <c r="G186" s="10"/>
      <c r="H186" s="22"/>
    </row>
    <row r="187" s="1" customFormat="1" ht="36" customHeight="1" spans="1:8">
      <c r="A187" s="12"/>
      <c r="B187" s="9" t="s">
        <v>700</v>
      </c>
      <c r="C187" s="10" t="s">
        <v>701</v>
      </c>
      <c r="D187" s="10" t="s">
        <v>702</v>
      </c>
      <c r="E187" s="10" t="s">
        <v>703</v>
      </c>
      <c r="F187" s="10" t="e">
        <f t="shared" si="4"/>
        <v>#VALUE!</v>
      </c>
      <c r="G187" s="10"/>
      <c r="H187" s="22"/>
    </row>
    <row r="188" s="1" customFormat="1" ht="34" customHeight="1" spans="1:8">
      <c r="A188" s="12"/>
      <c r="B188" s="9" t="s">
        <v>704</v>
      </c>
      <c r="C188" s="24" t="s">
        <v>705</v>
      </c>
      <c r="D188" s="10" t="s">
        <v>706</v>
      </c>
      <c r="E188" s="10" t="s">
        <v>707</v>
      </c>
      <c r="F188" s="10" t="e">
        <f t="shared" si="4"/>
        <v>#VALUE!</v>
      </c>
      <c r="G188" s="24"/>
      <c r="H188" s="20" t="s">
        <v>708</v>
      </c>
    </row>
    <row r="189" s="1" customFormat="1" ht="68" customHeight="1" spans="1:8">
      <c r="A189" s="12"/>
      <c r="B189" s="9" t="s">
        <v>709</v>
      </c>
      <c r="C189" s="24" t="s">
        <v>710</v>
      </c>
      <c r="D189" s="10" t="s">
        <v>711</v>
      </c>
      <c r="E189" s="10" t="s">
        <v>712</v>
      </c>
      <c r="F189" s="10" t="e">
        <f t="shared" si="4"/>
        <v>#VALUE!</v>
      </c>
      <c r="G189" s="24"/>
      <c r="H189" s="21" t="s">
        <v>713</v>
      </c>
    </row>
    <row r="190" s="1" customFormat="1" ht="18" customHeight="1" spans="1:8">
      <c r="A190" s="12"/>
      <c r="B190" s="9" t="s">
        <v>714</v>
      </c>
      <c r="C190" s="10" t="s">
        <v>715</v>
      </c>
      <c r="D190" s="10" t="s">
        <v>716</v>
      </c>
      <c r="E190" s="10" t="s">
        <v>717</v>
      </c>
      <c r="F190" s="10" t="e">
        <f t="shared" si="4"/>
        <v>#VALUE!</v>
      </c>
      <c r="G190" s="24"/>
      <c r="H190" s="22"/>
    </row>
    <row r="191" s="1" customFormat="1" ht="18" customHeight="1" spans="1:8">
      <c r="A191" s="15"/>
      <c r="B191" s="9" t="s">
        <v>718</v>
      </c>
      <c r="C191" s="10" t="s">
        <v>719</v>
      </c>
      <c r="D191" s="10" t="s">
        <v>720</v>
      </c>
      <c r="E191" s="10" t="s">
        <v>721</v>
      </c>
      <c r="F191" s="10" t="e">
        <f t="shared" si="4"/>
        <v>#VALUE!</v>
      </c>
      <c r="G191" s="24"/>
      <c r="H191" s="22"/>
    </row>
    <row r="192" s="1" customFormat="1" ht="17.6" customHeight="1" spans="1:8">
      <c r="A192" s="19"/>
      <c r="B192" s="9"/>
      <c r="C192" s="10"/>
      <c r="D192" s="10"/>
      <c r="E192" s="10"/>
      <c r="F192" s="10"/>
      <c r="G192" s="10"/>
      <c r="H192" s="10"/>
    </row>
    <row r="193" s="1" customFormat="1" ht="17.6" customHeight="1" spans="1:8">
      <c r="A193" s="6" t="s">
        <v>190</v>
      </c>
      <c r="B193" s="7"/>
      <c r="C193" s="7"/>
      <c r="D193" s="7"/>
      <c r="E193" s="7"/>
      <c r="F193" s="7"/>
      <c r="G193" s="7"/>
      <c r="H193" s="18"/>
    </row>
    <row r="194" s="1" customFormat="1" ht="18" customHeight="1" spans="1:8">
      <c r="A194" s="8" t="s">
        <v>2</v>
      </c>
      <c r="B194" s="9" t="s">
        <v>3</v>
      </c>
      <c r="C194" s="10" t="s">
        <v>4</v>
      </c>
      <c r="D194" s="11" t="s">
        <v>5</v>
      </c>
      <c r="E194" s="11" t="s">
        <v>6</v>
      </c>
      <c r="F194" s="10" t="s">
        <v>7</v>
      </c>
      <c r="G194" s="10" t="s">
        <v>8</v>
      </c>
      <c r="H194" s="19" t="s">
        <v>9</v>
      </c>
    </row>
    <row r="195" s="1" customFormat="1" ht="17.6" customHeight="1" spans="1:8">
      <c r="A195" s="8"/>
      <c r="B195" s="9" t="s">
        <v>191</v>
      </c>
      <c r="C195" s="10"/>
      <c r="D195" s="10"/>
      <c r="E195" s="10"/>
      <c r="F195" s="10"/>
      <c r="G195" s="10"/>
      <c r="H195" s="19"/>
    </row>
    <row r="196" s="1" customFormat="1" ht="17.6" customHeight="1" spans="1:8">
      <c r="A196" s="19" t="s">
        <v>722</v>
      </c>
      <c r="B196" s="9" t="s">
        <v>723</v>
      </c>
      <c r="C196" s="24" t="s">
        <v>724</v>
      </c>
      <c r="D196" s="24" t="s">
        <v>725</v>
      </c>
      <c r="E196" s="24" t="s">
        <v>726</v>
      </c>
      <c r="F196" s="10" t="e">
        <f>E196-D196</f>
        <v>#VALUE!</v>
      </c>
      <c r="G196" s="24"/>
      <c r="H196" s="22" t="s">
        <v>727</v>
      </c>
    </row>
    <row r="197" s="1" customFormat="1" ht="17.6" customHeight="1" spans="1:8">
      <c r="A197" s="12"/>
      <c r="B197" s="9" t="s">
        <v>728</v>
      </c>
      <c r="C197" s="24" t="s">
        <v>729</v>
      </c>
      <c r="D197" s="24" t="s">
        <v>730</v>
      </c>
      <c r="E197" s="24" t="s">
        <v>731</v>
      </c>
      <c r="F197" s="10" t="e">
        <f t="shared" ref="F197:F243" si="5">E197-D197</f>
        <v>#VALUE!</v>
      </c>
      <c r="G197" s="24"/>
      <c r="H197" s="22" t="s">
        <v>727</v>
      </c>
    </row>
    <row r="198" s="1" customFormat="1" ht="36" customHeight="1" spans="1:8">
      <c r="A198" s="12"/>
      <c r="B198" s="9" t="s">
        <v>732</v>
      </c>
      <c r="C198" s="10" t="s">
        <v>733</v>
      </c>
      <c r="D198" s="24" t="s">
        <v>734</v>
      </c>
      <c r="E198" s="24" t="s">
        <v>735</v>
      </c>
      <c r="F198" s="10" t="e">
        <f t="shared" si="5"/>
        <v>#VALUE!</v>
      </c>
      <c r="G198" s="10"/>
      <c r="H198" s="22"/>
    </row>
    <row r="199" s="1" customFormat="1" ht="36" customHeight="1" spans="1:8">
      <c r="A199" s="12"/>
      <c r="B199" s="9" t="s">
        <v>736</v>
      </c>
      <c r="C199" s="10" t="s">
        <v>737</v>
      </c>
      <c r="D199" s="24" t="s">
        <v>738</v>
      </c>
      <c r="E199" s="24" t="s">
        <v>739</v>
      </c>
      <c r="F199" s="10" t="e">
        <f t="shared" si="5"/>
        <v>#VALUE!</v>
      </c>
      <c r="G199" s="10"/>
      <c r="H199" s="22"/>
    </row>
    <row r="200" s="1" customFormat="1" ht="34" customHeight="1" spans="1:8">
      <c r="A200" s="12"/>
      <c r="B200" s="9" t="s">
        <v>740</v>
      </c>
      <c r="C200" s="24" t="s">
        <v>741</v>
      </c>
      <c r="D200" s="24" t="s">
        <v>742</v>
      </c>
      <c r="E200" s="24" t="s">
        <v>743</v>
      </c>
      <c r="F200" s="10" t="e">
        <f t="shared" si="5"/>
        <v>#VALUE!</v>
      </c>
      <c r="G200" s="24"/>
      <c r="H200" s="22"/>
    </row>
    <row r="201" s="1" customFormat="1" ht="17.6" customHeight="1" spans="1:8">
      <c r="A201" s="12"/>
      <c r="B201" s="9" t="s">
        <v>744</v>
      </c>
      <c r="C201" s="24" t="s">
        <v>745</v>
      </c>
      <c r="D201" s="24" t="s">
        <v>746</v>
      </c>
      <c r="E201" s="24" t="s">
        <v>747</v>
      </c>
      <c r="F201" s="10" t="e">
        <f t="shared" si="5"/>
        <v>#VALUE!</v>
      </c>
      <c r="G201" s="24"/>
      <c r="H201" s="22"/>
    </row>
    <row r="202" s="1" customFormat="1" ht="18" customHeight="1" spans="1:8">
      <c r="A202" s="12"/>
      <c r="B202" s="9" t="s">
        <v>748</v>
      </c>
      <c r="C202" s="10" t="s">
        <v>749</v>
      </c>
      <c r="D202" s="24" t="s">
        <v>750</v>
      </c>
      <c r="E202" s="24" t="s">
        <v>751</v>
      </c>
      <c r="F202" s="10" t="e">
        <f t="shared" si="5"/>
        <v>#VALUE!</v>
      </c>
      <c r="G202" s="24"/>
      <c r="H202" s="22"/>
    </row>
    <row r="203" s="1" customFormat="1" ht="18" customHeight="1" spans="1:8">
      <c r="A203" s="15"/>
      <c r="B203" s="9" t="s">
        <v>752</v>
      </c>
      <c r="C203" s="10" t="s">
        <v>753</v>
      </c>
      <c r="D203" s="24" t="s">
        <v>754</v>
      </c>
      <c r="E203" s="24" t="s">
        <v>755</v>
      </c>
      <c r="F203" s="10" t="e">
        <f t="shared" si="5"/>
        <v>#VALUE!</v>
      </c>
      <c r="G203" s="10"/>
      <c r="H203" s="22"/>
    </row>
    <row r="204" s="1" customFormat="1" ht="36" customHeight="1" spans="1:8">
      <c r="A204" s="19" t="s">
        <v>756</v>
      </c>
      <c r="B204" s="9" t="s">
        <v>193</v>
      </c>
      <c r="C204" s="10" t="s">
        <v>757</v>
      </c>
      <c r="D204" s="24" t="s">
        <v>758</v>
      </c>
      <c r="E204" s="24" t="s">
        <v>759</v>
      </c>
      <c r="F204" s="10" t="e">
        <f t="shared" si="5"/>
        <v>#VALUE!</v>
      </c>
      <c r="G204" s="10"/>
      <c r="H204" s="22"/>
    </row>
    <row r="205" s="1" customFormat="1" ht="18" customHeight="1" spans="1:8">
      <c r="A205" s="12"/>
      <c r="B205" s="9" t="s">
        <v>198</v>
      </c>
      <c r="C205" s="10" t="s">
        <v>78</v>
      </c>
      <c r="D205" s="24" t="s">
        <v>760</v>
      </c>
      <c r="E205" s="24" t="s">
        <v>761</v>
      </c>
      <c r="F205" s="10" t="e">
        <f t="shared" si="5"/>
        <v>#VALUE!</v>
      </c>
      <c r="G205" s="24" t="s">
        <v>81</v>
      </c>
      <c r="H205" s="22"/>
    </row>
    <row r="206" s="1" customFormat="1" ht="34" customHeight="1" spans="1:8">
      <c r="A206" s="12"/>
      <c r="B206" s="9" t="s">
        <v>762</v>
      </c>
      <c r="C206" s="24" t="s">
        <v>763</v>
      </c>
      <c r="D206" s="24" t="s">
        <v>764</v>
      </c>
      <c r="E206" s="24" t="s">
        <v>765</v>
      </c>
      <c r="F206" s="10" t="e">
        <f t="shared" si="5"/>
        <v>#VALUE!</v>
      </c>
      <c r="G206" s="24"/>
      <c r="H206" s="22"/>
    </row>
    <row r="207" s="1" customFormat="1" ht="17.6" customHeight="1" spans="1:8">
      <c r="A207" s="12"/>
      <c r="B207" s="9" t="s">
        <v>766</v>
      </c>
      <c r="C207" s="24" t="s">
        <v>767</v>
      </c>
      <c r="D207" s="24" t="s">
        <v>768</v>
      </c>
      <c r="E207" s="24" t="s">
        <v>769</v>
      </c>
      <c r="F207" s="10" t="e">
        <f t="shared" si="5"/>
        <v>#VALUE!</v>
      </c>
      <c r="G207" s="24"/>
      <c r="H207" s="22"/>
    </row>
    <row r="208" s="1" customFormat="1" ht="18" customHeight="1" spans="1:8">
      <c r="A208" s="12"/>
      <c r="B208" s="9" t="s">
        <v>770</v>
      </c>
      <c r="C208" s="10" t="s">
        <v>78</v>
      </c>
      <c r="D208" s="24" t="s">
        <v>771</v>
      </c>
      <c r="E208" s="24" t="s">
        <v>772</v>
      </c>
      <c r="F208" s="10" t="e">
        <f t="shared" si="5"/>
        <v>#VALUE!</v>
      </c>
      <c r="G208" s="10" t="s">
        <v>81</v>
      </c>
      <c r="H208" s="22"/>
    </row>
    <row r="209" s="1" customFormat="1" ht="18" customHeight="1" spans="1:8">
      <c r="A209" s="15"/>
      <c r="B209" s="9" t="s">
        <v>773</v>
      </c>
      <c r="C209" s="10" t="s">
        <v>78</v>
      </c>
      <c r="D209" s="24" t="s">
        <v>774</v>
      </c>
      <c r="E209" s="24" t="s">
        <v>775</v>
      </c>
      <c r="F209" s="10" t="e">
        <f t="shared" si="5"/>
        <v>#VALUE!</v>
      </c>
      <c r="G209" s="24" t="s">
        <v>81</v>
      </c>
      <c r="H209" s="22"/>
    </row>
    <row r="210" s="1" customFormat="1" ht="17.6" customHeight="1" spans="1:8">
      <c r="A210" s="19" t="s">
        <v>192</v>
      </c>
      <c r="B210" s="9" t="s">
        <v>202</v>
      </c>
      <c r="C210" s="24" t="s">
        <v>776</v>
      </c>
      <c r="D210" s="24" t="s">
        <v>777</v>
      </c>
      <c r="E210" s="24" t="s">
        <v>778</v>
      </c>
      <c r="F210" s="10" t="e">
        <f t="shared" si="5"/>
        <v>#VALUE!</v>
      </c>
      <c r="G210" s="24" t="s">
        <v>81</v>
      </c>
      <c r="H210" s="22"/>
    </row>
    <row r="211" s="1" customFormat="1" ht="18" customHeight="1" spans="1:8">
      <c r="A211" s="12"/>
      <c r="B211" s="9" t="s">
        <v>207</v>
      </c>
      <c r="C211" s="10" t="s">
        <v>779</v>
      </c>
      <c r="D211" s="24" t="s">
        <v>780</v>
      </c>
      <c r="E211" s="24" t="s">
        <v>781</v>
      </c>
      <c r="F211" s="10" t="e">
        <f t="shared" si="5"/>
        <v>#VALUE!</v>
      </c>
      <c r="G211" s="10"/>
      <c r="H211" s="22" t="s">
        <v>782</v>
      </c>
    </row>
    <row r="212" s="1" customFormat="1" ht="18" customHeight="1" spans="1:8">
      <c r="A212" s="12"/>
      <c r="B212" s="9" t="s">
        <v>211</v>
      </c>
      <c r="C212" s="10" t="s">
        <v>783</v>
      </c>
      <c r="D212" s="24" t="s">
        <v>784</v>
      </c>
      <c r="E212" s="24" t="s">
        <v>785</v>
      </c>
      <c r="F212" s="10" t="e">
        <f t="shared" si="5"/>
        <v>#VALUE!</v>
      </c>
      <c r="G212" s="24"/>
      <c r="H212" s="22"/>
    </row>
    <row r="213" s="1" customFormat="1" ht="17.6" customHeight="1" spans="1:8">
      <c r="A213" s="12"/>
      <c r="B213" s="9" t="s">
        <v>216</v>
      </c>
      <c r="C213" s="24" t="s">
        <v>512</v>
      </c>
      <c r="D213" s="24" t="s">
        <v>786</v>
      </c>
      <c r="E213" s="24" t="s">
        <v>787</v>
      </c>
      <c r="F213" s="10" t="e">
        <f t="shared" si="5"/>
        <v>#VALUE!</v>
      </c>
      <c r="G213" s="24"/>
      <c r="H213" s="22"/>
    </row>
    <row r="214" s="1" customFormat="1" ht="18" customHeight="1" spans="1:8">
      <c r="A214" s="12"/>
      <c r="B214" s="9" t="s">
        <v>221</v>
      </c>
      <c r="C214" s="28" t="s">
        <v>788</v>
      </c>
      <c r="D214" s="24" t="s">
        <v>789</v>
      </c>
      <c r="E214" s="24" t="s">
        <v>790</v>
      </c>
      <c r="F214" s="10" t="e">
        <f t="shared" si="5"/>
        <v>#VALUE!</v>
      </c>
      <c r="G214" s="24" t="s">
        <v>81</v>
      </c>
      <c r="H214" s="22"/>
    </row>
    <row r="215" s="1" customFormat="1" ht="18" customHeight="1" spans="1:8">
      <c r="A215" s="15"/>
      <c r="B215" s="9" t="s">
        <v>225</v>
      </c>
      <c r="C215" s="10" t="s">
        <v>78</v>
      </c>
      <c r="D215" s="24" t="s">
        <v>791</v>
      </c>
      <c r="E215" s="24" t="s">
        <v>792</v>
      </c>
      <c r="F215" s="10" t="e">
        <f t="shared" si="5"/>
        <v>#VALUE!</v>
      </c>
      <c r="G215" s="24" t="s">
        <v>81</v>
      </c>
      <c r="H215" s="22"/>
    </row>
    <row r="216" s="1" customFormat="1" ht="17.6" customHeight="1" spans="1:8">
      <c r="A216" s="19" t="s">
        <v>201</v>
      </c>
      <c r="B216" s="9" t="s">
        <v>232</v>
      </c>
      <c r="C216" s="24" t="s">
        <v>793</v>
      </c>
      <c r="D216" s="24" t="s">
        <v>794</v>
      </c>
      <c r="E216" s="24" t="s">
        <v>795</v>
      </c>
      <c r="F216" s="10" t="e">
        <f t="shared" si="5"/>
        <v>#VALUE!</v>
      </c>
      <c r="G216" s="24"/>
      <c r="H216" s="22" t="s">
        <v>796</v>
      </c>
    </row>
    <row r="217" s="1" customFormat="1" ht="17.6" customHeight="1" spans="1:8">
      <c r="A217" s="12"/>
      <c r="B217" s="9" t="s">
        <v>236</v>
      </c>
      <c r="C217" s="24" t="s">
        <v>797</v>
      </c>
      <c r="D217" s="24" t="s">
        <v>798</v>
      </c>
      <c r="E217" s="24" t="s">
        <v>799</v>
      </c>
      <c r="F217" s="10" t="e">
        <f t="shared" si="5"/>
        <v>#VALUE!</v>
      </c>
      <c r="G217" s="24"/>
      <c r="H217" s="22" t="s">
        <v>800</v>
      </c>
    </row>
    <row r="218" s="1" customFormat="1" ht="34" customHeight="1" spans="1:8">
      <c r="A218" s="12"/>
      <c r="B218" s="9" t="s">
        <v>240</v>
      </c>
      <c r="C218" s="24" t="s">
        <v>801</v>
      </c>
      <c r="D218" s="24" t="s">
        <v>802</v>
      </c>
      <c r="E218" s="24" t="s">
        <v>803</v>
      </c>
      <c r="F218" s="10" t="e">
        <f t="shared" si="5"/>
        <v>#VALUE!</v>
      </c>
      <c r="G218" s="24"/>
      <c r="H218" s="22"/>
    </row>
    <row r="219" s="1" customFormat="1" ht="17.6" customHeight="1" spans="1:8">
      <c r="A219" s="12"/>
      <c r="B219" s="9" t="s">
        <v>244</v>
      </c>
      <c r="C219" s="24" t="s">
        <v>804</v>
      </c>
      <c r="D219" s="24" t="s">
        <v>805</v>
      </c>
      <c r="E219" s="24" t="s">
        <v>806</v>
      </c>
      <c r="F219" s="10" t="e">
        <f t="shared" si="5"/>
        <v>#VALUE!</v>
      </c>
      <c r="G219" s="24"/>
      <c r="H219" s="22"/>
    </row>
    <row r="220" s="1" customFormat="1" ht="17.6" customHeight="1" spans="1:8">
      <c r="A220" s="12"/>
      <c r="B220" s="9" t="s">
        <v>247</v>
      </c>
      <c r="C220" s="24" t="s">
        <v>807</v>
      </c>
      <c r="D220" s="24" t="s">
        <v>808</v>
      </c>
      <c r="E220" s="24" t="s">
        <v>809</v>
      </c>
      <c r="F220" s="10" t="e">
        <f t="shared" si="5"/>
        <v>#VALUE!</v>
      </c>
      <c r="G220" s="24"/>
      <c r="H220" s="22"/>
    </row>
    <row r="221" s="1" customFormat="1" ht="18" customHeight="1" spans="1:8">
      <c r="A221" s="12"/>
      <c r="B221" s="9" t="s">
        <v>250</v>
      </c>
      <c r="C221" s="10" t="s">
        <v>810</v>
      </c>
      <c r="D221" s="24" t="s">
        <v>811</v>
      </c>
      <c r="E221" s="24" t="s">
        <v>812</v>
      </c>
      <c r="F221" s="10" t="e">
        <f t="shared" si="5"/>
        <v>#VALUE!</v>
      </c>
      <c r="G221" s="10"/>
      <c r="H221" s="22"/>
    </row>
    <row r="222" s="1" customFormat="1" ht="18" customHeight="1" spans="1:8">
      <c r="A222" s="12"/>
      <c r="B222" s="9" t="s">
        <v>813</v>
      </c>
      <c r="C222" s="10" t="s">
        <v>814</v>
      </c>
      <c r="D222" s="24" t="s">
        <v>815</v>
      </c>
      <c r="E222" s="24" t="s">
        <v>816</v>
      </c>
      <c r="F222" s="10" t="e">
        <f t="shared" si="5"/>
        <v>#VALUE!</v>
      </c>
      <c r="G222" s="10"/>
      <c r="H222" s="22"/>
    </row>
    <row r="223" s="1" customFormat="1" ht="18" customHeight="1" spans="1:8">
      <c r="A223" s="15"/>
      <c r="B223" s="9" t="s">
        <v>817</v>
      </c>
      <c r="C223" s="10" t="s">
        <v>78</v>
      </c>
      <c r="D223" s="24" t="s">
        <v>818</v>
      </c>
      <c r="E223" s="24" t="s">
        <v>819</v>
      </c>
      <c r="F223" s="10" t="e">
        <f t="shared" si="5"/>
        <v>#VALUE!</v>
      </c>
      <c r="G223" s="10" t="s">
        <v>81</v>
      </c>
      <c r="H223" s="22"/>
    </row>
    <row r="224" s="1" customFormat="1" ht="18" customHeight="1" spans="1:8">
      <c r="A224" s="19" t="s">
        <v>231</v>
      </c>
      <c r="B224" s="9" t="s">
        <v>255</v>
      </c>
      <c r="C224" s="10" t="s">
        <v>820</v>
      </c>
      <c r="D224" s="24" t="s">
        <v>821</v>
      </c>
      <c r="E224" s="24" t="s">
        <v>822</v>
      </c>
      <c r="F224" s="10" t="e">
        <f t="shared" si="5"/>
        <v>#VALUE!</v>
      </c>
      <c r="G224" s="10" t="s">
        <v>81</v>
      </c>
      <c r="H224" s="22"/>
    </row>
    <row r="225" s="1" customFormat="1" ht="18" customHeight="1" spans="1:8">
      <c r="A225" s="12"/>
      <c r="B225" s="9" t="s">
        <v>259</v>
      </c>
      <c r="C225" s="24" t="s">
        <v>823</v>
      </c>
      <c r="D225" s="24" t="s">
        <v>824</v>
      </c>
      <c r="E225" s="24" t="s">
        <v>825</v>
      </c>
      <c r="F225" s="10" t="e">
        <f t="shared" si="5"/>
        <v>#VALUE!</v>
      </c>
      <c r="G225" s="10" t="s">
        <v>81</v>
      </c>
      <c r="H225" s="22"/>
    </row>
    <row r="226" s="1" customFormat="1" ht="17.6" customHeight="1" spans="1:8">
      <c r="A226" s="12"/>
      <c r="B226" s="9" t="s">
        <v>264</v>
      </c>
      <c r="C226" s="24" t="s">
        <v>826</v>
      </c>
      <c r="D226" s="24" t="s">
        <v>827</v>
      </c>
      <c r="E226" s="24" t="s">
        <v>828</v>
      </c>
      <c r="F226" s="10" t="e">
        <f t="shared" si="5"/>
        <v>#VALUE!</v>
      </c>
      <c r="G226" s="24"/>
      <c r="H226" s="22"/>
    </row>
    <row r="227" s="1" customFormat="1" ht="34" customHeight="1" spans="1:8">
      <c r="A227" s="12"/>
      <c r="B227" s="9" t="s">
        <v>269</v>
      </c>
      <c r="C227" s="24" t="s">
        <v>829</v>
      </c>
      <c r="D227" s="24" t="s">
        <v>830</v>
      </c>
      <c r="E227" s="24" t="s">
        <v>831</v>
      </c>
      <c r="F227" s="10" t="e">
        <f t="shared" si="5"/>
        <v>#VALUE!</v>
      </c>
      <c r="G227" s="24"/>
      <c r="H227" s="22"/>
    </row>
    <row r="228" s="1" customFormat="1" ht="18" customHeight="1" spans="1:8">
      <c r="A228" s="12"/>
      <c r="B228" s="9" t="s">
        <v>274</v>
      </c>
      <c r="C228" s="10" t="s">
        <v>78</v>
      </c>
      <c r="D228" s="24" t="s">
        <v>832</v>
      </c>
      <c r="E228" s="24" t="s">
        <v>833</v>
      </c>
      <c r="F228" s="10" t="e">
        <f t="shared" si="5"/>
        <v>#VALUE!</v>
      </c>
      <c r="G228" s="10" t="s">
        <v>81</v>
      </c>
      <c r="H228" s="22"/>
    </row>
    <row r="229" s="1" customFormat="1" ht="18" customHeight="1" spans="1:8">
      <c r="A229" s="15"/>
      <c r="B229" s="9" t="s">
        <v>278</v>
      </c>
      <c r="C229" s="10" t="s">
        <v>834</v>
      </c>
      <c r="D229" s="24" t="s">
        <v>835</v>
      </c>
      <c r="E229" s="24" t="s">
        <v>836</v>
      </c>
      <c r="F229" s="10" t="e">
        <f t="shared" si="5"/>
        <v>#VALUE!</v>
      </c>
      <c r="G229" s="10"/>
      <c r="H229" s="22"/>
    </row>
    <row r="230" s="1" customFormat="1" ht="28" customHeight="1" spans="1:8">
      <c r="A230" s="19" t="s">
        <v>254</v>
      </c>
      <c r="B230" s="9" t="s">
        <v>291</v>
      </c>
      <c r="C230" s="10" t="s">
        <v>837</v>
      </c>
      <c r="D230" s="24" t="s">
        <v>838</v>
      </c>
      <c r="E230" s="24" t="s">
        <v>839</v>
      </c>
      <c r="F230" s="10" t="e">
        <f t="shared" si="5"/>
        <v>#VALUE!</v>
      </c>
      <c r="G230" s="27"/>
      <c r="H230" s="22" t="s">
        <v>840</v>
      </c>
    </row>
    <row r="231" s="1" customFormat="1" ht="36" customHeight="1" spans="1:8">
      <c r="A231" s="12"/>
      <c r="B231" s="9" t="s">
        <v>296</v>
      </c>
      <c r="C231" s="10" t="s">
        <v>841</v>
      </c>
      <c r="D231" s="24" t="s">
        <v>842</v>
      </c>
      <c r="E231" s="24" t="s">
        <v>843</v>
      </c>
      <c r="F231" s="10" t="e">
        <f t="shared" si="5"/>
        <v>#VALUE!</v>
      </c>
      <c r="G231" s="10"/>
      <c r="H231" s="22" t="s">
        <v>844</v>
      </c>
    </row>
    <row r="232" s="1" customFormat="1" ht="17.6" customHeight="1" spans="1:8">
      <c r="A232" s="12"/>
      <c r="B232" s="9" t="s">
        <v>301</v>
      </c>
      <c r="C232" s="24" t="s">
        <v>845</v>
      </c>
      <c r="D232" s="24" t="s">
        <v>846</v>
      </c>
      <c r="E232" s="24" t="s">
        <v>847</v>
      </c>
      <c r="F232" s="10" t="e">
        <f t="shared" si="5"/>
        <v>#VALUE!</v>
      </c>
      <c r="G232" s="24"/>
      <c r="H232" s="22" t="s">
        <v>848</v>
      </c>
    </row>
    <row r="233" s="1" customFormat="1" ht="17.6" customHeight="1" spans="1:8">
      <c r="A233" s="12"/>
      <c r="B233" s="9" t="s">
        <v>305</v>
      </c>
      <c r="C233" s="24" t="s">
        <v>849</v>
      </c>
      <c r="D233" s="24" t="s">
        <v>850</v>
      </c>
      <c r="E233" s="24" t="s">
        <v>851</v>
      </c>
      <c r="F233" s="10" t="e">
        <f t="shared" si="5"/>
        <v>#VALUE!</v>
      </c>
      <c r="G233" s="24"/>
      <c r="H233" s="22"/>
    </row>
    <row r="234" s="1" customFormat="1" ht="18" customHeight="1" spans="1:8">
      <c r="A234" s="12"/>
      <c r="B234" s="9" t="s">
        <v>310</v>
      </c>
      <c r="C234" s="10" t="s">
        <v>78</v>
      </c>
      <c r="D234" s="24" t="s">
        <v>852</v>
      </c>
      <c r="E234" s="24" t="s">
        <v>853</v>
      </c>
      <c r="F234" s="10" t="e">
        <f t="shared" si="5"/>
        <v>#VALUE!</v>
      </c>
      <c r="G234" s="10" t="s">
        <v>81</v>
      </c>
      <c r="H234" s="22"/>
    </row>
    <row r="235" s="1" customFormat="1" ht="18" customHeight="1" spans="1:8">
      <c r="A235" s="15"/>
      <c r="B235" s="9" t="s">
        <v>315</v>
      </c>
      <c r="C235" s="10" t="s">
        <v>78</v>
      </c>
      <c r="D235" s="24" t="s">
        <v>854</v>
      </c>
      <c r="E235" s="24" t="s">
        <v>855</v>
      </c>
      <c r="F235" s="10" t="e">
        <f t="shared" si="5"/>
        <v>#VALUE!</v>
      </c>
      <c r="G235" s="10" t="s">
        <v>81</v>
      </c>
      <c r="H235" s="22"/>
    </row>
    <row r="236" s="1" customFormat="1" ht="28" customHeight="1" spans="1:8">
      <c r="A236" s="19" t="s">
        <v>290</v>
      </c>
      <c r="B236" s="9" t="s">
        <v>329</v>
      </c>
      <c r="C236" s="10" t="s">
        <v>856</v>
      </c>
      <c r="D236" s="24" t="s">
        <v>857</v>
      </c>
      <c r="E236" s="24" t="s">
        <v>858</v>
      </c>
      <c r="F236" s="10" t="e">
        <f t="shared" si="5"/>
        <v>#VALUE!</v>
      </c>
      <c r="G236" s="27"/>
      <c r="H236" s="22" t="s">
        <v>859</v>
      </c>
    </row>
    <row r="237" s="1" customFormat="1" ht="18" customHeight="1" spans="1:8">
      <c r="A237" s="12"/>
      <c r="B237" s="9" t="s">
        <v>333</v>
      </c>
      <c r="C237" s="10" t="s">
        <v>860</v>
      </c>
      <c r="D237" s="24" t="s">
        <v>861</v>
      </c>
      <c r="E237" s="24" t="s">
        <v>862</v>
      </c>
      <c r="F237" s="10" t="e">
        <f t="shared" si="5"/>
        <v>#VALUE!</v>
      </c>
      <c r="G237" s="10"/>
      <c r="H237" s="22" t="s">
        <v>863</v>
      </c>
    </row>
    <row r="238" s="1" customFormat="1" ht="36" customHeight="1" spans="1:8">
      <c r="A238" s="12"/>
      <c r="B238" s="9" t="s">
        <v>338</v>
      </c>
      <c r="C238" s="10" t="s">
        <v>864</v>
      </c>
      <c r="D238" s="24" t="s">
        <v>865</v>
      </c>
      <c r="E238" s="24" t="s">
        <v>866</v>
      </c>
      <c r="F238" s="10" t="e">
        <f t="shared" si="5"/>
        <v>#VALUE!</v>
      </c>
      <c r="G238" s="10"/>
      <c r="H238" s="22"/>
    </row>
    <row r="239" s="1" customFormat="1" ht="18" customHeight="1" spans="1:8">
      <c r="A239" s="12"/>
      <c r="B239" s="9" t="s">
        <v>343</v>
      </c>
      <c r="C239" s="10" t="s">
        <v>867</v>
      </c>
      <c r="D239" s="24" t="s">
        <v>868</v>
      </c>
      <c r="E239" s="24" t="s">
        <v>869</v>
      </c>
      <c r="F239" s="10" t="e">
        <f t="shared" si="5"/>
        <v>#VALUE!</v>
      </c>
      <c r="G239" s="10"/>
      <c r="H239" s="22" t="s">
        <v>870</v>
      </c>
    </row>
    <row r="240" s="1" customFormat="1" ht="18" customHeight="1" spans="1:8">
      <c r="A240" s="12"/>
      <c r="B240" s="9" t="s">
        <v>347</v>
      </c>
      <c r="C240" s="10" t="s">
        <v>78</v>
      </c>
      <c r="D240" s="24" t="s">
        <v>871</v>
      </c>
      <c r="E240" s="24" t="s">
        <v>872</v>
      </c>
      <c r="F240" s="10" t="e">
        <f t="shared" si="5"/>
        <v>#VALUE!</v>
      </c>
      <c r="G240" s="10" t="s">
        <v>81</v>
      </c>
      <c r="H240" s="22"/>
    </row>
    <row r="241" s="1" customFormat="1" ht="18" customHeight="1" spans="1:8">
      <c r="A241" s="15"/>
      <c r="B241" s="9" t="s">
        <v>351</v>
      </c>
      <c r="C241" s="10" t="s">
        <v>78</v>
      </c>
      <c r="D241" s="24" t="s">
        <v>873</v>
      </c>
      <c r="E241" s="24" t="s">
        <v>874</v>
      </c>
      <c r="F241" s="10" t="e">
        <f t="shared" si="5"/>
        <v>#VALUE!</v>
      </c>
      <c r="G241" s="10"/>
      <c r="H241" s="22"/>
    </row>
    <row r="242" s="1" customFormat="1" ht="17.6" customHeight="1" spans="1:8">
      <c r="A242" s="19"/>
      <c r="B242" s="9"/>
      <c r="C242" s="10"/>
      <c r="D242" s="10"/>
      <c r="E242" s="10"/>
      <c r="F242" s="10">
        <f t="shared" si="5"/>
        <v>0</v>
      </c>
      <c r="G242" s="24"/>
      <c r="H242" s="10" t="e">
        <f>E242-#REF!</f>
        <v>#REF!</v>
      </c>
    </row>
    <row r="243" s="1" customFormat="1" ht="17.6" customHeight="1" spans="1:8">
      <c r="A243" s="29" t="s">
        <v>354</v>
      </c>
      <c r="B243" s="30"/>
      <c r="C243" s="30"/>
      <c r="D243" s="30"/>
      <c r="E243" s="30"/>
      <c r="F243" s="30"/>
      <c r="G243" s="30"/>
      <c r="H243" s="33"/>
    </row>
    <row r="244" s="1" customFormat="1" ht="18" customHeight="1" spans="1:8">
      <c r="A244" s="8" t="s">
        <v>2</v>
      </c>
      <c r="B244" s="9" t="s">
        <v>3</v>
      </c>
      <c r="C244" s="10" t="s">
        <v>4</v>
      </c>
      <c r="D244" s="11" t="s">
        <v>5</v>
      </c>
      <c r="E244" s="11" t="s">
        <v>6</v>
      </c>
      <c r="F244" s="10" t="s">
        <v>7</v>
      </c>
      <c r="G244" s="10" t="s">
        <v>8</v>
      </c>
      <c r="H244" s="19" t="s">
        <v>9</v>
      </c>
    </row>
    <row r="245" s="1" customFormat="1" ht="17.6" customHeight="1" spans="1:8">
      <c r="A245" s="8"/>
      <c r="B245" s="9" t="s">
        <v>355</v>
      </c>
      <c r="C245" s="10"/>
      <c r="D245" s="10"/>
      <c r="E245" s="10"/>
      <c r="F245" s="10"/>
      <c r="G245" s="10"/>
      <c r="H245" s="19"/>
    </row>
    <row r="246" s="1" customFormat="1" ht="18" customHeight="1" spans="1:8">
      <c r="A246" s="19" t="s">
        <v>875</v>
      </c>
      <c r="B246" s="31" t="s">
        <v>357</v>
      </c>
      <c r="C246" s="32" t="s">
        <v>876</v>
      </c>
      <c r="D246" s="10" t="s">
        <v>877</v>
      </c>
      <c r="E246" s="10" t="s">
        <v>878</v>
      </c>
      <c r="F246" s="10" t="e">
        <f>E246-D246</f>
        <v>#VALUE!</v>
      </c>
      <c r="G246" s="10"/>
      <c r="H246" s="22" t="s">
        <v>879</v>
      </c>
    </row>
    <row r="247" s="1" customFormat="1" ht="17.6" customHeight="1" spans="1:8">
      <c r="A247" s="12"/>
      <c r="B247" s="9" t="s">
        <v>362</v>
      </c>
      <c r="C247" s="24" t="s">
        <v>78</v>
      </c>
      <c r="D247" s="10" t="s">
        <v>880</v>
      </c>
      <c r="E247" s="10" t="s">
        <v>881</v>
      </c>
      <c r="F247" s="10" t="e">
        <f t="shared" ref="F247:F269" si="6">E247-D247</f>
        <v>#VALUE!</v>
      </c>
      <c r="G247" s="24" t="s">
        <v>81</v>
      </c>
      <c r="H247" s="22"/>
    </row>
    <row r="248" s="1" customFormat="1" ht="17.6" customHeight="1" spans="1:8">
      <c r="A248" s="15"/>
      <c r="B248" s="31" t="s">
        <v>365</v>
      </c>
      <c r="C248" s="32" t="s">
        <v>882</v>
      </c>
      <c r="D248" s="10" t="s">
        <v>883</v>
      </c>
      <c r="E248" s="10" t="s">
        <v>884</v>
      </c>
      <c r="F248" s="10" t="e">
        <f t="shared" si="6"/>
        <v>#VALUE!</v>
      </c>
      <c r="G248" s="24"/>
      <c r="H248" s="22" t="s">
        <v>885</v>
      </c>
    </row>
    <row r="249" s="1" customFormat="1" ht="17.6" customHeight="1" spans="1:8">
      <c r="A249" s="19" t="s">
        <v>356</v>
      </c>
      <c r="B249" s="31" t="s">
        <v>369</v>
      </c>
      <c r="C249" s="32" t="s">
        <v>886</v>
      </c>
      <c r="D249" s="10" t="s">
        <v>887</v>
      </c>
      <c r="E249" s="10" t="s">
        <v>888</v>
      </c>
      <c r="F249" s="10" t="e">
        <f t="shared" si="6"/>
        <v>#VALUE!</v>
      </c>
      <c r="G249" s="24"/>
      <c r="H249" s="22" t="s">
        <v>889</v>
      </c>
    </row>
    <row r="250" s="1" customFormat="1" ht="17.6" customHeight="1" spans="1:8">
      <c r="A250" s="12"/>
      <c r="B250" s="9" t="s">
        <v>372</v>
      </c>
      <c r="C250" s="24" t="s">
        <v>890</v>
      </c>
      <c r="D250" s="10" t="s">
        <v>891</v>
      </c>
      <c r="E250" s="10" t="s">
        <v>892</v>
      </c>
      <c r="F250" s="10" t="e">
        <f t="shared" si="6"/>
        <v>#VALUE!</v>
      </c>
      <c r="G250" s="24"/>
      <c r="H250" s="22" t="s">
        <v>893</v>
      </c>
    </row>
    <row r="251" s="1" customFormat="1" ht="17.6" customHeight="1" spans="1:8">
      <c r="A251" s="12"/>
      <c r="B251" s="9" t="s">
        <v>376</v>
      </c>
      <c r="C251" s="24" t="s">
        <v>894</v>
      </c>
      <c r="D251" s="10" t="s">
        <v>895</v>
      </c>
      <c r="E251" s="10" t="s">
        <v>896</v>
      </c>
      <c r="F251" s="10" t="e">
        <f t="shared" si="6"/>
        <v>#VALUE!</v>
      </c>
      <c r="G251" s="24"/>
      <c r="H251" s="22"/>
    </row>
    <row r="252" s="1" customFormat="1" ht="18" customHeight="1" spans="1:8">
      <c r="A252" s="12"/>
      <c r="B252" s="9" t="s">
        <v>381</v>
      </c>
      <c r="C252" s="10" t="s">
        <v>897</v>
      </c>
      <c r="D252" s="10" t="s">
        <v>898</v>
      </c>
      <c r="E252" s="10" t="s">
        <v>899</v>
      </c>
      <c r="F252" s="10" t="e">
        <f t="shared" si="6"/>
        <v>#VALUE!</v>
      </c>
      <c r="G252" s="10" t="s">
        <v>900</v>
      </c>
      <c r="H252" s="22"/>
    </row>
    <row r="253" s="1" customFormat="1" ht="18" customHeight="1" spans="1:8">
      <c r="A253" s="12"/>
      <c r="B253" s="9" t="s">
        <v>901</v>
      </c>
      <c r="C253" s="10" t="s">
        <v>78</v>
      </c>
      <c r="D253" s="10" t="s">
        <v>902</v>
      </c>
      <c r="E253" s="10" t="s">
        <v>903</v>
      </c>
      <c r="F253" s="10" t="e">
        <f t="shared" si="6"/>
        <v>#VALUE!</v>
      </c>
      <c r="G253" s="10" t="s">
        <v>81</v>
      </c>
      <c r="H253" s="22"/>
    </row>
    <row r="254" s="1" customFormat="1" ht="18" customHeight="1" spans="1:8">
      <c r="A254" s="15"/>
      <c r="B254" s="9" t="s">
        <v>904</v>
      </c>
      <c r="C254" s="10" t="s">
        <v>905</v>
      </c>
      <c r="D254" s="10" t="s">
        <v>906</v>
      </c>
      <c r="E254" s="10" t="s">
        <v>907</v>
      </c>
      <c r="F254" s="10" t="e">
        <f t="shared" si="6"/>
        <v>#VALUE!</v>
      </c>
      <c r="G254" s="10"/>
      <c r="H254" s="22"/>
    </row>
    <row r="255" s="1" customFormat="1" ht="18" customHeight="1" spans="1:8">
      <c r="A255" s="19" t="s">
        <v>368</v>
      </c>
      <c r="B255" s="9" t="s">
        <v>386</v>
      </c>
      <c r="C255" s="10" t="s">
        <v>908</v>
      </c>
      <c r="D255" s="10" t="s">
        <v>909</v>
      </c>
      <c r="E255" s="10" t="s">
        <v>910</v>
      </c>
      <c r="F255" s="10" t="e">
        <f t="shared" si="6"/>
        <v>#VALUE!</v>
      </c>
      <c r="G255" s="10"/>
      <c r="H255" s="22"/>
    </row>
    <row r="256" s="1" customFormat="1" ht="17.6" customHeight="1" spans="1:8">
      <c r="A256" s="12"/>
      <c r="B256" s="9" t="s">
        <v>391</v>
      </c>
      <c r="C256" s="24" t="s">
        <v>911</v>
      </c>
      <c r="D256" s="10" t="s">
        <v>912</v>
      </c>
      <c r="E256" s="10" t="s">
        <v>913</v>
      </c>
      <c r="F256" s="10" t="e">
        <f t="shared" si="6"/>
        <v>#VALUE!</v>
      </c>
      <c r="G256" s="24"/>
      <c r="H256" s="22"/>
    </row>
    <row r="257" s="1" customFormat="1" ht="17.6" customHeight="1" spans="1:8">
      <c r="A257" s="12"/>
      <c r="B257" s="9" t="s">
        <v>395</v>
      </c>
      <c r="C257" s="24" t="s">
        <v>914</v>
      </c>
      <c r="D257" s="10" t="s">
        <v>915</v>
      </c>
      <c r="E257" s="10" t="s">
        <v>916</v>
      </c>
      <c r="F257" s="10" t="e">
        <f t="shared" si="6"/>
        <v>#VALUE!</v>
      </c>
      <c r="G257" s="10"/>
      <c r="H257" s="22" t="s">
        <v>917</v>
      </c>
    </row>
    <row r="258" s="1" customFormat="1" ht="34" customHeight="1" spans="1:8">
      <c r="A258" s="12"/>
      <c r="B258" s="9" t="s">
        <v>400</v>
      </c>
      <c r="C258" s="24" t="s">
        <v>918</v>
      </c>
      <c r="D258" s="10" t="s">
        <v>919</v>
      </c>
      <c r="E258" s="10" t="s">
        <v>920</v>
      </c>
      <c r="F258" s="10" t="e">
        <f t="shared" si="6"/>
        <v>#VALUE!</v>
      </c>
      <c r="G258" s="24"/>
      <c r="H258" s="22"/>
    </row>
    <row r="259" s="1" customFormat="1" ht="18" customHeight="1" spans="1:8">
      <c r="A259" s="12"/>
      <c r="B259" s="9" t="s">
        <v>405</v>
      </c>
      <c r="C259" s="10" t="s">
        <v>78</v>
      </c>
      <c r="D259" s="10" t="s">
        <v>921</v>
      </c>
      <c r="E259" s="10" t="s">
        <v>922</v>
      </c>
      <c r="F259" s="10" t="e">
        <f t="shared" si="6"/>
        <v>#VALUE!</v>
      </c>
      <c r="G259" s="10" t="s">
        <v>81</v>
      </c>
      <c r="H259" s="22"/>
    </row>
    <row r="260" s="1" customFormat="1" ht="18" customHeight="1" spans="1:8">
      <c r="A260" s="12"/>
      <c r="B260" s="9" t="s">
        <v>408</v>
      </c>
      <c r="C260" s="10" t="s">
        <v>78</v>
      </c>
      <c r="D260" s="10" t="s">
        <v>923</v>
      </c>
      <c r="E260" s="10" t="s">
        <v>924</v>
      </c>
      <c r="F260" s="10" t="e">
        <f t="shared" si="6"/>
        <v>#VALUE!</v>
      </c>
      <c r="G260" s="10" t="s">
        <v>81</v>
      </c>
      <c r="H260" s="22"/>
    </row>
    <row r="261" s="1" customFormat="1" ht="18" customHeight="1" spans="1:8">
      <c r="A261" s="15"/>
      <c r="B261" s="9" t="s">
        <v>412</v>
      </c>
      <c r="C261" s="10" t="s">
        <v>925</v>
      </c>
      <c r="D261" s="10" t="s">
        <v>926</v>
      </c>
      <c r="E261" s="10" t="s">
        <v>927</v>
      </c>
      <c r="F261" s="10" t="e">
        <f t="shared" si="6"/>
        <v>#VALUE!</v>
      </c>
      <c r="G261" s="10"/>
      <c r="H261" s="22"/>
    </row>
    <row r="262" s="1" customFormat="1" ht="36" customHeight="1" spans="1:8">
      <c r="A262" s="19" t="s">
        <v>385</v>
      </c>
      <c r="B262" s="9" t="s">
        <v>420</v>
      </c>
      <c r="C262" s="10" t="s">
        <v>928</v>
      </c>
      <c r="D262" s="10" t="s">
        <v>929</v>
      </c>
      <c r="E262" s="10" t="s">
        <v>930</v>
      </c>
      <c r="F262" s="10" t="e">
        <f t="shared" si="6"/>
        <v>#VALUE!</v>
      </c>
      <c r="G262" s="24"/>
      <c r="H262" s="22"/>
    </row>
    <row r="263" s="1" customFormat="1" ht="34" customHeight="1" spans="1:8">
      <c r="A263" s="12"/>
      <c r="B263" s="9" t="s">
        <v>424</v>
      </c>
      <c r="C263" s="24" t="s">
        <v>931</v>
      </c>
      <c r="D263" s="10" t="s">
        <v>932</v>
      </c>
      <c r="E263" s="10" t="s">
        <v>933</v>
      </c>
      <c r="F263" s="10" t="e">
        <f t="shared" si="6"/>
        <v>#VALUE!</v>
      </c>
      <c r="G263" s="24"/>
      <c r="H263" s="22"/>
    </row>
    <row r="264" s="1" customFormat="1" ht="18" customHeight="1" spans="1:8">
      <c r="A264" s="12"/>
      <c r="B264" s="9" t="s">
        <v>428</v>
      </c>
      <c r="C264" s="24" t="s">
        <v>934</v>
      </c>
      <c r="D264" s="10" t="s">
        <v>935</v>
      </c>
      <c r="E264" s="10" t="s">
        <v>936</v>
      </c>
      <c r="F264" s="10" t="e">
        <f t="shared" si="6"/>
        <v>#VALUE!</v>
      </c>
      <c r="G264" s="10" t="s">
        <v>81</v>
      </c>
      <c r="H264" s="22" t="s">
        <v>937</v>
      </c>
    </row>
    <row r="265" s="1" customFormat="1" ht="17.6" customHeight="1" spans="1:8">
      <c r="A265" s="12"/>
      <c r="B265" s="9" t="s">
        <v>433</v>
      </c>
      <c r="C265" s="24" t="s">
        <v>938</v>
      </c>
      <c r="D265" s="10" t="s">
        <v>939</v>
      </c>
      <c r="E265" s="10" t="s">
        <v>940</v>
      </c>
      <c r="F265" s="10" t="e">
        <f t="shared" si="6"/>
        <v>#VALUE!</v>
      </c>
      <c r="G265" s="24"/>
      <c r="H265" s="22"/>
    </row>
    <row r="266" s="1" customFormat="1" ht="17.6" customHeight="1" spans="1:8">
      <c r="A266" s="12"/>
      <c r="B266" s="9" t="s">
        <v>438</v>
      </c>
      <c r="C266" s="24" t="s">
        <v>941</v>
      </c>
      <c r="D266" s="10" t="s">
        <v>942</v>
      </c>
      <c r="E266" s="10" t="s">
        <v>943</v>
      </c>
      <c r="F266" s="10" t="e">
        <f t="shared" si="6"/>
        <v>#VALUE!</v>
      </c>
      <c r="G266" s="24"/>
      <c r="H266" s="22" t="s">
        <v>944</v>
      </c>
    </row>
    <row r="267" s="1" customFormat="1" ht="18" customHeight="1" spans="1:8">
      <c r="A267" s="12"/>
      <c r="B267" s="9" t="s">
        <v>443</v>
      </c>
      <c r="C267" s="10" t="s">
        <v>945</v>
      </c>
      <c r="D267" s="10" t="s">
        <v>946</v>
      </c>
      <c r="E267" s="10" t="s">
        <v>947</v>
      </c>
      <c r="F267" s="10" t="e">
        <f t="shared" si="6"/>
        <v>#VALUE!</v>
      </c>
      <c r="G267" s="10"/>
      <c r="H267" s="22" t="s">
        <v>948</v>
      </c>
    </row>
    <row r="268" s="1" customFormat="1" ht="18" customHeight="1" spans="1:8">
      <c r="A268" s="12"/>
      <c r="B268" s="9" t="s">
        <v>447</v>
      </c>
      <c r="C268" s="10" t="s">
        <v>78</v>
      </c>
      <c r="D268" s="10" t="s">
        <v>949</v>
      </c>
      <c r="E268" s="10" t="s">
        <v>950</v>
      </c>
      <c r="F268" s="10" t="e">
        <f t="shared" si="6"/>
        <v>#VALUE!</v>
      </c>
      <c r="G268" s="10"/>
      <c r="H268" s="22"/>
    </row>
    <row r="269" s="1" customFormat="1" ht="18" customHeight="1" spans="1:8">
      <c r="A269" s="15"/>
      <c r="B269" s="9" t="s">
        <v>452</v>
      </c>
      <c r="C269" s="10" t="s">
        <v>78</v>
      </c>
      <c r="D269" s="10" t="s">
        <v>951</v>
      </c>
      <c r="E269" s="10" t="s">
        <v>952</v>
      </c>
      <c r="F269" s="10" t="e">
        <f t="shared" si="6"/>
        <v>#VALUE!</v>
      </c>
      <c r="G269" s="10" t="s">
        <v>81</v>
      </c>
      <c r="H269" s="22"/>
    </row>
    <row r="270" s="1" customFormat="1" ht="17.6" customHeight="1" spans="1:8">
      <c r="A270" s="19"/>
      <c r="B270" s="9"/>
      <c r="C270" s="10"/>
      <c r="D270" s="10"/>
      <c r="E270" s="10"/>
      <c r="F270" s="10"/>
      <c r="G270" s="10" t="s">
        <v>81</v>
      </c>
      <c r="H270" s="10"/>
    </row>
    <row r="271" s="1" customFormat="1" ht="17.6" customHeight="1" spans="1:8">
      <c r="A271" s="6" t="s">
        <v>455</v>
      </c>
      <c r="B271" s="7"/>
      <c r="C271" s="7"/>
      <c r="D271" s="7"/>
      <c r="E271" s="7"/>
      <c r="F271" s="7"/>
      <c r="G271" s="7"/>
      <c r="H271" s="18"/>
    </row>
    <row r="272" s="1" customFormat="1" ht="18" customHeight="1" spans="1:8">
      <c r="A272" s="8" t="s">
        <v>2</v>
      </c>
      <c r="B272" s="9" t="s">
        <v>3</v>
      </c>
      <c r="C272" s="10" t="s">
        <v>4</v>
      </c>
      <c r="D272" s="11" t="s">
        <v>5</v>
      </c>
      <c r="E272" s="11" t="s">
        <v>6</v>
      </c>
      <c r="F272" s="10" t="s">
        <v>7</v>
      </c>
      <c r="G272" s="10" t="s">
        <v>8</v>
      </c>
      <c r="H272" s="19" t="s">
        <v>9</v>
      </c>
    </row>
    <row r="273" s="1" customFormat="1" ht="17.6" customHeight="1" spans="1:8">
      <c r="A273" s="8"/>
      <c r="B273" s="9" t="s">
        <v>456</v>
      </c>
      <c r="C273" s="10"/>
      <c r="D273" s="10"/>
      <c r="E273" s="10"/>
      <c r="F273" s="10"/>
      <c r="G273" s="10"/>
      <c r="H273" s="19"/>
    </row>
    <row r="274" s="1" customFormat="1" ht="34" customHeight="1" spans="1:8">
      <c r="A274" s="19" t="s">
        <v>499</v>
      </c>
      <c r="B274" s="9" t="s">
        <v>492</v>
      </c>
      <c r="C274" s="24" t="s">
        <v>953</v>
      </c>
      <c r="D274" s="24" t="s">
        <v>954</v>
      </c>
      <c r="E274" s="24" t="s">
        <v>955</v>
      </c>
      <c r="F274" s="10" t="e">
        <f>E274-D274</f>
        <v>#VALUE!</v>
      </c>
      <c r="G274" s="24"/>
      <c r="H274" s="22"/>
    </row>
    <row r="275" s="1" customFormat="1" ht="34" customHeight="1" spans="1:8">
      <c r="A275" s="12"/>
      <c r="B275" s="9" t="s">
        <v>496</v>
      </c>
      <c r="C275" s="24" t="s">
        <v>956</v>
      </c>
      <c r="D275" s="24" t="s">
        <v>957</v>
      </c>
      <c r="E275" s="24" t="s">
        <v>958</v>
      </c>
      <c r="F275" s="10" t="e">
        <f t="shared" ref="F275:F297" si="7">E275-D275</f>
        <v>#VALUE!</v>
      </c>
      <c r="G275" s="24"/>
      <c r="H275" s="22"/>
    </row>
    <row r="276" s="1" customFormat="1" ht="18" customHeight="1" spans="1:8">
      <c r="A276" s="12"/>
      <c r="B276" s="9" t="s">
        <v>959</v>
      </c>
      <c r="C276" s="24" t="s">
        <v>960</v>
      </c>
      <c r="D276" s="24" t="s">
        <v>961</v>
      </c>
      <c r="E276" s="24" t="s">
        <v>962</v>
      </c>
      <c r="F276" s="10" t="e">
        <f t="shared" si="7"/>
        <v>#VALUE!</v>
      </c>
      <c r="G276" s="10" t="s">
        <v>81</v>
      </c>
      <c r="H276" s="22"/>
    </row>
    <row r="277" s="1" customFormat="1" ht="17.6" customHeight="1" spans="1:8">
      <c r="A277" s="12"/>
      <c r="B277" s="9" t="s">
        <v>963</v>
      </c>
      <c r="C277" s="24" t="s">
        <v>964</v>
      </c>
      <c r="D277" s="24" t="s">
        <v>965</v>
      </c>
      <c r="E277" s="24" t="s">
        <v>966</v>
      </c>
      <c r="F277" s="10" t="e">
        <f t="shared" si="7"/>
        <v>#VALUE!</v>
      </c>
      <c r="G277" s="24"/>
      <c r="H277" s="22"/>
    </row>
    <row r="278" s="1" customFormat="1" ht="17.6" customHeight="1" spans="1:8">
      <c r="A278" s="12"/>
      <c r="B278" s="9" t="s">
        <v>967</v>
      </c>
      <c r="C278" s="24" t="s">
        <v>968</v>
      </c>
      <c r="D278" s="24" t="s">
        <v>969</v>
      </c>
      <c r="E278" s="24" t="s">
        <v>970</v>
      </c>
      <c r="F278" s="10" t="e">
        <f t="shared" si="7"/>
        <v>#VALUE!</v>
      </c>
      <c r="G278" s="24"/>
      <c r="H278" s="22" t="s">
        <v>971</v>
      </c>
    </row>
    <row r="279" s="1" customFormat="1" ht="17.6" customHeight="1" spans="1:8">
      <c r="A279" s="12"/>
      <c r="B279" s="9" t="s">
        <v>972</v>
      </c>
      <c r="C279" s="24" t="s">
        <v>973</v>
      </c>
      <c r="D279" s="24" t="s">
        <v>974</v>
      </c>
      <c r="E279" s="24" t="s">
        <v>975</v>
      </c>
      <c r="F279" s="10" t="e">
        <f t="shared" si="7"/>
        <v>#VALUE!</v>
      </c>
      <c r="G279" s="24"/>
      <c r="H279" s="22"/>
    </row>
    <row r="280" s="1" customFormat="1" ht="18" customHeight="1" spans="1:8">
      <c r="A280" s="12"/>
      <c r="B280" s="9" t="s">
        <v>976</v>
      </c>
      <c r="C280" s="10" t="s">
        <v>78</v>
      </c>
      <c r="D280" s="24" t="s">
        <v>977</v>
      </c>
      <c r="E280" s="24" t="s">
        <v>978</v>
      </c>
      <c r="F280" s="10" t="e">
        <f t="shared" si="7"/>
        <v>#VALUE!</v>
      </c>
      <c r="G280" s="10" t="s">
        <v>81</v>
      </c>
      <c r="H280" s="22" t="s">
        <v>979</v>
      </c>
    </row>
    <row r="281" s="1" customFormat="1" ht="18" customHeight="1" spans="1:8">
      <c r="A281" s="15"/>
      <c r="B281" s="9" t="s">
        <v>980</v>
      </c>
      <c r="C281" s="10" t="s">
        <v>78</v>
      </c>
      <c r="D281" s="24" t="s">
        <v>981</v>
      </c>
      <c r="E281" s="24" t="s">
        <v>982</v>
      </c>
      <c r="F281" s="10" t="e">
        <f t="shared" si="7"/>
        <v>#VALUE!</v>
      </c>
      <c r="G281" s="10" t="s">
        <v>81</v>
      </c>
      <c r="H281" s="22"/>
    </row>
    <row r="282" s="1" customFormat="1" ht="18" customHeight="1" spans="1:8">
      <c r="A282" s="19" t="s">
        <v>526</v>
      </c>
      <c r="B282" s="9" t="s">
        <v>500</v>
      </c>
      <c r="C282" s="10" t="s">
        <v>983</v>
      </c>
      <c r="D282" s="24" t="s">
        <v>984</v>
      </c>
      <c r="E282" s="24" t="s">
        <v>985</v>
      </c>
      <c r="F282" s="10" t="e">
        <f t="shared" si="7"/>
        <v>#VALUE!</v>
      </c>
      <c r="G282" s="10"/>
      <c r="H282" s="22"/>
    </row>
    <row r="283" s="1" customFormat="1" ht="34" customHeight="1" spans="1:8">
      <c r="A283" s="12"/>
      <c r="B283" s="9" t="s">
        <v>503</v>
      </c>
      <c r="C283" s="24" t="s">
        <v>986</v>
      </c>
      <c r="D283" s="24" t="s">
        <v>987</v>
      </c>
      <c r="E283" s="24" t="s">
        <v>988</v>
      </c>
      <c r="F283" s="10" t="e">
        <f t="shared" si="7"/>
        <v>#VALUE!</v>
      </c>
      <c r="G283" s="24"/>
      <c r="H283" s="22"/>
    </row>
    <row r="284" s="1" customFormat="1" ht="17.6" customHeight="1" spans="1:8">
      <c r="A284" s="12"/>
      <c r="B284" s="9" t="s">
        <v>507</v>
      </c>
      <c r="C284" s="24" t="s">
        <v>989</v>
      </c>
      <c r="D284" s="24" t="s">
        <v>990</v>
      </c>
      <c r="E284" s="24" t="s">
        <v>991</v>
      </c>
      <c r="F284" s="10" t="e">
        <f t="shared" si="7"/>
        <v>#VALUE!</v>
      </c>
      <c r="G284" s="24"/>
      <c r="H284" s="22"/>
    </row>
    <row r="285" s="1" customFormat="1" ht="34" customHeight="1" spans="1:8">
      <c r="A285" s="12"/>
      <c r="B285" s="9" t="s">
        <v>511</v>
      </c>
      <c r="C285" s="24" t="s">
        <v>992</v>
      </c>
      <c r="D285" s="24" t="s">
        <v>993</v>
      </c>
      <c r="E285" s="24" t="s">
        <v>994</v>
      </c>
      <c r="F285" s="10" t="e">
        <f t="shared" si="7"/>
        <v>#VALUE!</v>
      </c>
      <c r="G285" s="24"/>
      <c r="H285" s="22"/>
    </row>
    <row r="286" s="1" customFormat="1" ht="18" customHeight="1" spans="1:8">
      <c r="A286" s="12"/>
      <c r="B286" s="9" t="s">
        <v>515</v>
      </c>
      <c r="C286" s="10" t="s">
        <v>995</v>
      </c>
      <c r="D286" s="24" t="s">
        <v>996</v>
      </c>
      <c r="E286" s="24" t="s">
        <v>997</v>
      </c>
      <c r="F286" s="10" t="e">
        <f t="shared" si="7"/>
        <v>#VALUE!</v>
      </c>
      <c r="G286" s="10"/>
      <c r="H286" s="22"/>
    </row>
    <row r="287" s="1" customFormat="1" ht="18" customHeight="1" spans="1:8">
      <c r="A287" s="12"/>
      <c r="B287" s="9" t="s">
        <v>518</v>
      </c>
      <c r="C287" s="10" t="s">
        <v>78</v>
      </c>
      <c r="D287" s="24" t="s">
        <v>998</v>
      </c>
      <c r="E287" s="24" t="s">
        <v>999</v>
      </c>
      <c r="F287" s="10" t="e">
        <f t="shared" si="7"/>
        <v>#VALUE!</v>
      </c>
      <c r="G287" s="10" t="s">
        <v>81</v>
      </c>
      <c r="H287" s="22"/>
    </row>
    <row r="288" s="1" customFormat="1" ht="18" customHeight="1" spans="1:8">
      <c r="A288" s="15"/>
      <c r="B288" s="9" t="s">
        <v>521</v>
      </c>
      <c r="C288" s="10" t="s">
        <v>78</v>
      </c>
      <c r="D288" s="24" t="s">
        <v>1000</v>
      </c>
      <c r="E288" s="24" t="s">
        <v>1001</v>
      </c>
      <c r="F288" s="10" t="e">
        <f t="shared" si="7"/>
        <v>#VALUE!</v>
      </c>
      <c r="G288" s="10" t="s">
        <v>81</v>
      </c>
      <c r="H288" s="22"/>
    </row>
    <row r="289" s="1" customFormat="1" ht="17.6" customHeight="1" spans="1:8">
      <c r="A289" s="19" t="s">
        <v>541</v>
      </c>
      <c r="B289" s="31" t="s">
        <v>527</v>
      </c>
      <c r="C289" s="32" t="s">
        <v>886</v>
      </c>
      <c r="D289" s="24" t="s">
        <v>1002</v>
      </c>
      <c r="E289" s="24" t="s">
        <v>1003</v>
      </c>
      <c r="F289" s="10" t="e">
        <f t="shared" si="7"/>
        <v>#VALUE!</v>
      </c>
      <c r="G289" s="24"/>
      <c r="H289" s="22" t="s">
        <v>1004</v>
      </c>
    </row>
    <row r="290" s="1" customFormat="1" ht="17.6" customHeight="1" spans="1:8">
      <c r="A290" s="12"/>
      <c r="B290" s="9" t="s">
        <v>530</v>
      </c>
      <c r="C290" s="24" t="s">
        <v>1005</v>
      </c>
      <c r="D290" s="24" t="s">
        <v>1006</v>
      </c>
      <c r="E290" s="24" t="s">
        <v>1007</v>
      </c>
      <c r="F290" s="10" t="e">
        <f t="shared" si="7"/>
        <v>#VALUE!</v>
      </c>
      <c r="G290" s="24"/>
      <c r="H290" s="22"/>
    </row>
    <row r="291" s="1" customFormat="1" ht="17.6" customHeight="1" spans="1:8">
      <c r="A291" s="12"/>
      <c r="B291" s="9" t="s">
        <v>533</v>
      </c>
      <c r="C291" s="24" t="s">
        <v>1008</v>
      </c>
      <c r="D291" s="24" t="s">
        <v>1009</v>
      </c>
      <c r="E291" s="24" t="s">
        <v>1010</v>
      </c>
      <c r="F291" s="10" t="e">
        <f t="shared" si="7"/>
        <v>#VALUE!</v>
      </c>
      <c r="G291" s="24"/>
      <c r="H291" s="22"/>
    </row>
    <row r="292" s="1" customFormat="1" ht="28" customHeight="1" spans="1:8">
      <c r="A292" s="12"/>
      <c r="B292" s="9" t="s">
        <v>537</v>
      </c>
      <c r="C292" s="10" t="s">
        <v>1011</v>
      </c>
      <c r="D292" s="24" t="s">
        <v>1012</v>
      </c>
      <c r="E292" s="24" t="s">
        <v>1013</v>
      </c>
      <c r="F292" s="10" t="e">
        <f t="shared" si="7"/>
        <v>#VALUE!</v>
      </c>
      <c r="G292" s="27"/>
      <c r="H292" s="22" t="s">
        <v>848</v>
      </c>
    </row>
    <row r="293" s="1" customFormat="1" ht="18" customHeight="1" spans="1:8">
      <c r="A293" s="12"/>
      <c r="B293" s="9" t="s">
        <v>1014</v>
      </c>
      <c r="C293" s="10" t="s">
        <v>1015</v>
      </c>
      <c r="D293" s="24" t="s">
        <v>1016</v>
      </c>
      <c r="E293" s="24" t="s">
        <v>1017</v>
      </c>
      <c r="F293" s="10" t="e">
        <f t="shared" si="7"/>
        <v>#VALUE!</v>
      </c>
      <c r="G293" s="10"/>
      <c r="H293" s="22"/>
    </row>
    <row r="294" s="1" customFormat="1" ht="18" customHeight="1" spans="1:8">
      <c r="A294" s="15"/>
      <c r="B294" s="9" t="s">
        <v>1018</v>
      </c>
      <c r="C294" s="10" t="s">
        <v>1019</v>
      </c>
      <c r="D294" s="24" t="s">
        <v>1020</v>
      </c>
      <c r="E294" s="24" t="s">
        <v>1021</v>
      </c>
      <c r="F294" s="10" t="e">
        <f t="shared" si="7"/>
        <v>#VALUE!</v>
      </c>
      <c r="G294" s="10"/>
      <c r="H294" s="22" t="s">
        <v>1022</v>
      </c>
    </row>
    <row r="295" s="1" customFormat="1" ht="18" customHeight="1" spans="1:8">
      <c r="A295" s="19" t="s">
        <v>1023</v>
      </c>
      <c r="B295" s="31" t="s">
        <v>542</v>
      </c>
      <c r="C295" s="32" t="s">
        <v>876</v>
      </c>
      <c r="D295" s="24" t="s">
        <v>1024</v>
      </c>
      <c r="E295" s="24" t="s">
        <v>1025</v>
      </c>
      <c r="F295" s="10" t="e">
        <f t="shared" si="7"/>
        <v>#VALUE!</v>
      </c>
      <c r="G295" s="10"/>
      <c r="H295" s="22" t="s">
        <v>1026</v>
      </c>
    </row>
    <row r="296" s="1" customFormat="1" ht="17.6" customHeight="1" spans="1:8">
      <c r="A296" s="12"/>
      <c r="B296" s="9" t="s">
        <v>547</v>
      </c>
      <c r="C296" s="24" t="s">
        <v>78</v>
      </c>
      <c r="D296" s="24" t="s">
        <v>1027</v>
      </c>
      <c r="E296" s="24" t="s">
        <v>1028</v>
      </c>
      <c r="F296" s="10" t="e">
        <f t="shared" si="7"/>
        <v>#VALUE!</v>
      </c>
      <c r="G296" s="24" t="s">
        <v>81</v>
      </c>
      <c r="H296" s="22"/>
    </row>
    <row r="297" s="1" customFormat="1" ht="17.6" customHeight="1" spans="1:8">
      <c r="A297" s="15"/>
      <c r="B297" s="31" t="s">
        <v>551</v>
      </c>
      <c r="C297" s="32" t="s">
        <v>882</v>
      </c>
      <c r="D297" s="24" t="s">
        <v>1029</v>
      </c>
      <c r="E297" s="24" t="s">
        <v>1030</v>
      </c>
      <c r="F297" s="10" t="e">
        <f t="shared" si="7"/>
        <v>#VALUE!</v>
      </c>
      <c r="G297" s="24"/>
      <c r="H297" s="22" t="s">
        <v>1004</v>
      </c>
    </row>
    <row r="298" s="1" customFormat="1" ht="17.6" customHeight="1" spans="1:8">
      <c r="A298" s="20"/>
      <c r="B298" s="22"/>
      <c r="C298" s="24"/>
      <c r="D298" s="24"/>
      <c r="E298" s="24"/>
      <c r="F298" s="24"/>
      <c r="G298" s="24"/>
      <c r="H298" s="10"/>
    </row>
    <row r="299" s="1" customFormat="1" spans="1:1">
      <c r="A299" s="2"/>
    </row>
    <row r="300" s="1" customFormat="1" spans="1:43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</row>
    <row r="301" s="1" customFormat="1" ht="17" customHeight="1" spans="1:43">
      <c r="A301"/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</row>
    <row r="302" s="1" customFormat="1" ht="17" customHeight="1" spans="1:43">
      <c r="A302" s="34"/>
      <c r="B302" s="35" t="s">
        <v>1031</v>
      </c>
      <c r="C302" s="36" t="s">
        <v>1032</v>
      </c>
      <c r="D302" s="36"/>
      <c r="E302" s="40"/>
      <c r="F302" s="40"/>
      <c r="G302" s="40"/>
      <c r="H302" s="39"/>
      <c r="I302" s="39"/>
      <c r="J302" s="39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</row>
    <row r="303" s="1" customFormat="1" ht="17" customHeight="1" spans="1:43">
      <c r="A303" s="34"/>
      <c r="B303" s="35"/>
      <c r="C303" s="36" t="s">
        <v>1033</v>
      </c>
      <c r="D303" s="36">
        <f>E326</f>
        <v>0</v>
      </c>
      <c r="E303" s="40"/>
      <c r="F303" s="40"/>
      <c r="G303" s="40"/>
      <c r="H303" s="39"/>
      <c r="I303" s="39"/>
      <c r="J303" s="39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</row>
    <row r="304" s="1" customFormat="1" ht="17" customHeight="1" spans="1:43">
      <c r="A304" s="34"/>
      <c r="B304" s="37">
        <v>1</v>
      </c>
      <c r="C304" s="36" t="s">
        <v>1034</v>
      </c>
      <c r="D304" s="36" t="e">
        <f>F6+F7+F8+F9+F11+F12+F13+F14+F15+F16+F19+F20+F21+F22+F23+F24+F27+F28+F29+F30+F31+F33+F34+F35+F36+F37+F38+F40+F46+F48+F49+F50+F51+F52+F55+F56+F58+F61+F62+F63+F64+F65+F66+F67+F69+F70+F71+F72+F73+F74+F75+F76+F78+F79+F80+F81+F91+F94+F95+F96+F97+F101+F102+F103+F104+F105+F106+F107+F108+F114+F115+F116+F117+F118+F119+F120+F122+F125+F126+F127+F130+F136</f>
        <v>#VALUE!</v>
      </c>
      <c r="E304" s="40"/>
      <c r="F304" s="40"/>
      <c r="G304" s="40"/>
      <c r="H304" s="41"/>
      <c r="I304" s="36" t="s">
        <v>1035</v>
      </c>
      <c r="J304" s="37" t="e">
        <f>F40+F122+F46+F48+F29</f>
        <v>#VALUE!</v>
      </c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</row>
    <row r="305" s="1" customFormat="1" ht="17" customHeight="1" spans="1:43">
      <c r="A305" s="34"/>
      <c r="B305" s="37">
        <v>2</v>
      </c>
      <c r="C305" s="36" t="s">
        <v>1036</v>
      </c>
      <c r="D305" s="36" t="e">
        <f>F77+F5</f>
        <v>#VALUE!</v>
      </c>
      <c r="E305" s="40"/>
      <c r="F305" s="40"/>
      <c r="G305" s="40"/>
      <c r="H305" s="39"/>
      <c r="I305" s="36" t="s">
        <v>1037</v>
      </c>
      <c r="J305" s="37" t="e">
        <f>F37+F50</f>
        <v>#VALUE!</v>
      </c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</row>
    <row r="306" s="1" customFormat="1" ht="17" customHeight="1" spans="1:43">
      <c r="A306" s="34"/>
      <c r="B306" s="37">
        <v>3</v>
      </c>
      <c r="C306" s="36" t="s">
        <v>1038</v>
      </c>
      <c r="D306" s="36" t="e">
        <f>F145+F146+F148+F151+F152+F153+F157+F158+F159+F160+F163+F164+F165+F167+F168+F173+F174+F175+F177+F178+F179+F180+F181+F184+F185+F186+F188+F189+F190+F191+F196+F197+F200+F201+F203+F204+F206+F207+F210+F211+F213+F216+F217+F218+F219+F220+F221+F222+F223+F224+F226+F227+F230+F231+F236+F237+F239+F246+F248+F249+F250+F254+F256+F258+F262+F263+F267+F275+F277+F278+F279+F283+F284+F285+F286+F290+F294</f>
        <v>#VALUE!</v>
      </c>
      <c r="E306" s="40"/>
      <c r="F306" s="40"/>
      <c r="G306" s="40"/>
      <c r="H306" s="41"/>
      <c r="I306" s="36" t="s">
        <v>1039</v>
      </c>
      <c r="J306" s="37" t="e">
        <f>F33</f>
        <v>#VALUE!</v>
      </c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</row>
    <row r="307" s="1" customFormat="1" ht="17" customHeight="1" spans="1:43">
      <c r="A307" s="34"/>
      <c r="B307" s="37">
        <v>4</v>
      </c>
      <c r="C307" s="36" t="s">
        <v>1040</v>
      </c>
      <c r="D307" s="36" t="e">
        <f>F87+F135</f>
        <v>#VALUE!</v>
      </c>
      <c r="E307" s="40"/>
      <c r="F307" s="40"/>
      <c r="G307" s="40"/>
      <c r="H307" s="39"/>
      <c r="I307" s="36" t="s">
        <v>373</v>
      </c>
      <c r="J307" s="37" t="e">
        <f>F91</f>
        <v>#VALUE!</v>
      </c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</row>
    <row r="308" s="1" customFormat="1" ht="17" customHeight="1" spans="1:43">
      <c r="A308" s="34"/>
      <c r="B308" s="37">
        <v>5</v>
      </c>
      <c r="C308" s="36" t="s">
        <v>1041</v>
      </c>
      <c r="D308" s="36" t="e">
        <f>F92+F93+F134+F133</f>
        <v>#VALUE!</v>
      </c>
      <c r="E308" s="40"/>
      <c r="F308" s="40"/>
      <c r="G308" s="40"/>
      <c r="H308" s="39"/>
      <c r="I308" s="36" t="s">
        <v>1042</v>
      </c>
      <c r="J308" s="37" t="e">
        <f>F130</f>
        <v>#VALUE!</v>
      </c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</row>
    <row r="309" s="1" customFormat="1" ht="17" customHeight="1" spans="1:43">
      <c r="A309" s="34"/>
      <c r="B309" s="37">
        <v>6</v>
      </c>
      <c r="C309" s="36" t="s">
        <v>1043</v>
      </c>
      <c r="D309" s="35" t="e">
        <f>F147+F154+F187+F199+F232+F233+F238+F251+F257+F291+F292</f>
        <v>#VALUE!</v>
      </c>
      <c r="E309" s="42"/>
      <c r="F309" s="42"/>
      <c r="G309" s="42"/>
      <c r="H309" s="39"/>
      <c r="I309" s="36" t="s">
        <v>548</v>
      </c>
      <c r="J309" s="37" t="e">
        <f>F136</f>
        <v>#VALUE!</v>
      </c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</row>
    <row r="310" s="1" customFormat="1" ht="17" customHeight="1" spans="1:43">
      <c r="A310" s="34"/>
      <c r="B310" s="37">
        <v>7</v>
      </c>
      <c r="C310" s="36" t="s">
        <v>1044</v>
      </c>
      <c r="D310" s="36" t="e">
        <f>F293+F252</f>
        <v>#VALUE!</v>
      </c>
      <c r="E310" s="40"/>
      <c r="F310" s="40"/>
      <c r="G310" s="40"/>
      <c r="H310" s="39"/>
      <c r="I310" s="36" t="s">
        <v>1045</v>
      </c>
      <c r="J310" s="37" t="e">
        <f>F6</f>
        <v>#VALUE!</v>
      </c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</row>
    <row r="311" s="1" customFormat="1" ht="17" customHeight="1" spans="1:43">
      <c r="A311" s="34"/>
      <c r="B311" s="37">
        <v>8</v>
      </c>
      <c r="C311" s="36" t="s">
        <v>925</v>
      </c>
      <c r="D311" s="36" t="e">
        <f>F261</f>
        <v>#VALUE!</v>
      </c>
      <c r="E311" s="40"/>
      <c r="F311" s="40"/>
      <c r="G311" s="40"/>
      <c r="H311" s="39"/>
      <c r="I311" s="36" t="s">
        <v>220</v>
      </c>
      <c r="J311" s="37" t="e">
        <f>F51+F94+F101</f>
        <v>#VALUE!</v>
      </c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</row>
    <row r="312" s="1" customFormat="1" ht="17" customHeight="1" spans="1:43">
      <c r="A312" s="34"/>
      <c r="B312" s="37">
        <v>9</v>
      </c>
      <c r="C312" s="36" t="s">
        <v>1046</v>
      </c>
      <c r="D312" s="36" t="e">
        <f>F255+F282</f>
        <v>#VALUE!</v>
      </c>
      <c r="E312" s="40"/>
      <c r="F312" s="40"/>
      <c r="G312" s="40"/>
      <c r="H312" s="39"/>
      <c r="I312" s="36" t="s">
        <v>1047</v>
      </c>
      <c r="J312" s="37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</row>
    <row r="313" s="1" customFormat="1" ht="17" customHeight="1" spans="1:43">
      <c r="A313" s="34"/>
      <c r="B313" s="37">
        <v>10</v>
      </c>
      <c r="C313" s="36" t="s">
        <v>409</v>
      </c>
      <c r="D313" s="36" t="e">
        <f>F99+F129</f>
        <v>#VALUE!</v>
      </c>
      <c r="E313" s="40"/>
      <c r="F313" s="40"/>
      <c r="G313" s="40"/>
      <c r="H313" s="39"/>
      <c r="I313" s="36" t="s">
        <v>1048</v>
      </c>
      <c r="J313" s="37" t="e">
        <f>F148+F159+F167+F189+F201+F220+F226+F284</f>
        <v>#VALUE!</v>
      </c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</row>
    <row r="314" s="1" customFormat="1" ht="17" customHeight="1" spans="1:43">
      <c r="A314" s="34"/>
      <c r="B314" s="37">
        <v>11</v>
      </c>
      <c r="C314" s="36" t="s">
        <v>41</v>
      </c>
      <c r="D314" s="36" t="e">
        <f>F10+F17+F60+F57</f>
        <v>#VALUE!</v>
      </c>
      <c r="E314" s="40"/>
      <c r="F314" s="40"/>
      <c r="G314" s="40"/>
      <c r="H314" s="39"/>
      <c r="I314" s="36" t="s">
        <v>1049</v>
      </c>
      <c r="J314" s="37" t="e">
        <f>SUM(J304:J313)</f>
        <v>#VALUE!</v>
      </c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</row>
    <row r="315" s="1" customFormat="1" ht="17" customHeight="1" spans="1:43">
      <c r="A315" s="34"/>
      <c r="B315" s="37"/>
      <c r="C315" s="36" t="s">
        <v>1049</v>
      </c>
      <c r="D315" s="36" t="e">
        <f>D304+D305+D306+D307+D308+D309+D310+D311+D314</f>
        <v>#VALUE!</v>
      </c>
      <c r="E315" s="40"/>
      <c r="F315" s="40"/>
      <c r="G315" s="40"/>
      <c r="H315" s="39"/>
      <c r="I315" s="36"/>
      <c r="J315" s="37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</row>
    <row r="316" s="1" customFormat="1" ht="17" customHeight="1" spans="1:43">
      <c r="A316" s="34"/>
      <c r="B316" s="37"/>
      <c r="C316" s="36" t="s">
        <v>1050</v>
      </c>
      <c r="D316" s="38">
        <v>0.08</v>
      </c>
      <c r="E316" s="40"/>
      <c r="F316" s="40"/>
      <c r="G316" s="40"/>
      <c r="H316" s="39"/>
      <c r="I316" s="36"/>
      <c r="J316" s="37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</row>
    <row r="317" s="1" customFormat="1" ht="17" customHeight="1" spans="1:43">
      <c r="A317" s="34"/>
      <c r="B317" s="37"/>
      <c r="C317" s="36" t="s">
        <v>1051</v>
      </c>
      <c r="D317" s="36" t="e">
        <f>D303-D315</f>
        <v>#VALUE!</v>
      </c>
      <c r="E317" s="40"/>
      <c r="F317" s="40"/>
      <c r="G317" s="40"/>
      <c r="H317" s="39"/>
      <c r="I317" s="36"/>
      <c r="J317" s="3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</row>
    <row r="318" s="1" customFormat="1" ht="21" spans="1:43">
      <c r="A318" s="34"/>
      <c r="B318" s="37"/>
      <c r="C318" s="36" t="s">
        <v>1052</v>
      </c>
      <c r="D318" s="36" t="e">
        <f>D317*(1+D316)</f>
        <v>#VALUE!</v>
      </c>
      <c r="E318" s="40"/>
      <c r="F318" s="40"/>
      <c r="G318" s="40"/>
      <c r="H318" s="39"/>
      <c r="I318" s="36"/>
      <c r="J318" s="37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</row>
    <row r="319" s="1" customFormat="1" ht="20.4" spans="1:43">
      <c r="A319" s="34"/>
      <c r="B319" s="39"/>
      <c r="C319" s="39"/>
      <c r="D319" s="39"/>
      <c r="E319" s="39"/>
      <c r="F319" s="39"/>
      <c r="G319" s="39"/>
      <c r="H319" s="39"/>
      <c r="I319" s="39"/>
      <c r="J319" s="3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</row>
    <row r="320" s="1" customFormat="1" ht="20.4" spans="1:43">
      <c r="A320" s="34"/>
      <c r="B320" s="39"/>
      <c r="C320" s="39"/>
      <c r="D320" s="39"/>
      <c r="E320" s="39"/>
      <c r="F320" s="39"/>
      <c r="G320" s="39"/>
      <c r="H320" s="39"/>
      <c r="I320" s="39"/>
      <c r="J320" s="39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</row>
    <row r="321" s="1" customFormat="1" ht="20.4" spans="1:43">
      <c r="A321" s="43" t="s">
        <v>1053</v>
      </c>
      <c r="B321" s="44"/>
      <c r="C321" s="44"/>
      <c r="D321" s="44"/>
      <c r="E321" s="73"/>
      <c r="F321" s="39"/>
      <c r="G321" s="39"/>
      <c r="H321" s="39"/>
      <c r="I321" s="39"/>
      <c r="J321" s="39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</row>
    <row r="322" s="1" customFormat="1" ht="17.6" customHeight="1" spans="1:43">
      <c r="A322" s="45"/>
      <c r="B322" s="34"/>
      <c r="C322" s="34"/>
      <c r="D322" s="34"/>
      <c r="E322" s="74"/>
      <c r="F322" s="39"/>
      <c r="G322" s="41"/>
      <c r="H322" s="41"/>
      <c r="I322" s="39"/>
      <c r="J322" s="39" t="e">
        <f>(J306+J307+J308+J309+J310+J311)*1.2</f>
        <v>#VALUE!</v>
      </c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</row>
    <row r="323" s="1" customFormat="1" ht="22" customHeight="1" spans="1:43">
      <c r="A323" s="35"/>
      <c r="B323" s="35"/>
      <c r="C323" s="11" t="s">
        <v>5</v>
      </c>
      <c r="D323" s="11" t="s">
        <v>6</v>
      </c>
      <c r="E323" s="46" t="s">
        <v>1054</v>
      </c>
      <c r="F323" s="41"/>
      <c r="G323" s="41"/>
      <c r="H323" s="39"/>
      <c r="I323" s="39"/>
      <c r="J323" s="39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</row>
    <row r="324" s="1" customFormat="1" ht="20.4" spans="1:43">
      <c r="A324" s="35"/>
      <c r="B324" s="35" t="s">
        <v>1055</v>
      </c>
      <c r="C324" s="46"/>
      <c r="D324" s="46"/>
      <c r="E324" s="46">
        <f>(D324-C324)*6000</f>
        <v>0</v>
      </c>
      <c r="F324" s="41"/>
      <c r="G324" s="41"/>
      <c r="H324" s="39"/>
      <c r="I324" s="39"/>
      <c r="J324" s="39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</row>
    <row r="325" s="1" customFormat="1" ht="20.4" spans="1:43">
      <c r="A325" s="47"/>
      <c r="B325" s="47" t="s">
        <v>1056</v>
      </c>
      <c r="C325" s="48"/>
      <c r="D325" s="48"/>
      <c r="E325" s="46">
        <f>(D325-C325)*6000</f>
        <v>0</v>
      </c>
      <c r="F325" s="41"/>
      <c r="G325" s="39"/>
      <c r="H325" s="39"/>
      <c r="I325" s="39"/>
      <c r="J325" s="39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</row>
    <row r="326" ht="20.4" spans="1:43">
      <c r="A326" s="47"/>
      <c r="B326" s="47" t="s">
        <v>1049</v>
      </c>
      <c r="C326" s="48"/>
      <c r="D326" s="48"/>
      <c r="E326" s="48">
        <f>SUM(E324:E325)</f>
        <v>0</v>
      </c>
      <c r="F326" s="41"/>
      <c r="G326" s="39"/>
      <c r="H326" s="39"/>
      <c r="I326" s="39"/>
      <c r="J326" s="39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</row>
    <row r="327" ht="20.4" spans="1:43">
      <c r="A327" s="49"/>
      <c r="B327" s="50"/>
      <c r="C327" s="41"/>
      <c r="D327" s="41"/>
      <c r="E327" s="41"/>
      <c r="F327" s="41"/>
      <c r="G327" s="41"/>
      <c r="H327" s="41"/>
      <c r="I327" s="50"/>
      <c r="J327" s="50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</row>
    <row r="328" ht="20.4" spans="1:43">
      <c r="A328" s="49"/>
      <c r="B328" s="50"/>
      <c r="C328" s="41"/>
      <c r="D328" s="41"/>
      <c r="E328" s="41"/>
      <c r="F328" s="41"/>
      <c r="G328" s="41"/>
      <c r="H328" s="41"/>
      <c r="I328" s="50"/>
      <c r="J328" s="50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</row>
    <row r="329" ht="20.4" spans="1:43">
      <c r="A329" s="51" t="s">
        <v>1057</v>
      </c>
      <c r="B329" s="52"/>
      <c r="C329" s="52"/>
      <c r="D329" s="52"/>
      <c r="E329" s="75"/>
      <c r="F329" s="41"/>
      <c r="G329" s="41"/>
      <c r="H329" s="41"/>
      <c r="I329" s="41"/>
      <c r="J329" s="50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</row>
    <row r="330" ht="17.6" customHeight="1" spans="1:43">
      <c r="A330" s="53"/>
      <c r="B330" s="54"/>
      <c r="C330" s="54"/>
      <c r="D330" s="54"/>
      <c r="E330" s="76"/>
      <c r="F330" s="41"/>
      <c r="G330" s="41"/>
      <c r="H330" s="41"/>
      <c r="I330" s="41"/>
      <c r="J330" s="5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</row>
    <row r="331" ht="16" customHeight="1" spans="1:43">
      <c r="A331" s="55"/>
      <c r="B331" s="55"/>
      <c r="C331" s="11" t="s">
        <v>5</v>
      </c>
      <c r="D331" s="11" t="s">
        <v>6</v>
      </c>
      <c r="E331" s="56" t="s">
        <v>1054</v>
      </c>
      <c r="F331" s="41"/>
      <c r="G331" s="41"/>
      <c r="H331" s="41"/>
      <c r="I331" s="41"/>
      <c r="J331" s="50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</row>
    <row r="332" ht="20.4" spans="1:10">
      <c r="A332" s="55"/>
      <c r="B332" s="55" t="s">
        <v>1055</v>
      </c>
      <c r="C332" s="56"/>
      <c r="D332" s="56"/>
      <c r="E332" s="56">
        <f>(D332-C332)*3000</f>
        <v>0</v>
      </c>
      <c r="F332" s="41"/>
      <c r="G332" s="41"/>
      <c r="H332" s="41"/>
      <c r="I332" s="41"/>
      <c r="J332" s="50"/>
    </row>
    <row r="333" ht="20.4" spans="1:10">
      <c r="A333" s="57"/>
      <c r="B333" s="57" t="s">
        <v>1056</v>
      </c>
      <c r="C333" s="58"/>
      <c r="D333" s="58"/>
      <c r="E333" s="56">
        <f>(D333-C333)*3000</f>
        <v>0</v>
      </c>
      <c r="F333" s="41"/>
      <c r="G333" s="41"/>
      <c r="H333" s="41"/>
      <c r="I333" s="41"/>
      <c r="J333" s="50"/>
    </row>
    <row r="334" ht="20.4" spans="1:10">
      <c r="A334" s="57"/>
      <c r="B334" s="57" t="s">
        <v>1049</v>
      </c>
      <c r="C334" s="58"/>
      <c r="D334" s="58"/>
      <c r="E334" s="58">
        <f>SUM(E332:E333)</f>
        <v>0</v>
      </c>
      <c r="F334" s="41"/>
      <c r="G334" s="41"/>
      <c r="H334" s="41"/>
      <c r="I334" s="41"/>
      <c r="J334" s="50"/>
    </row>
    <row r="335" ht="20.4" spans="1:10">
      <c r="A335" s="59"/>
      <c r="B335" s="60"/>
      <c r="C335" s="61"/>
      <c r="D335" s="61"/>
      <c r="E335" s="61"/>
      <c r="F335" s="41"/>
      <c r="G335" s="41"/>
      <c r="H335" s="41"/>
      <c r="I335" s="41"/>
      <c r="J335" s="50"/>
    </row>
    <row r="336" ht="20.4" spans="1:10">
      <c r="A336" s="59"/>
      <c r="B336" s="60"/>
      <c r="C336" s="61"/>
      <c r="D336" s="61"/>
      <c r="E336" s="61"/>
      <c r="F336" s="40"/>
      <c r="G336" s="40"/>
      <c r="H336" s="40"/>
      <c r="I336" s="40"/>
      <c r="J336" s="78"/>
    </row>
    <row r="337" ht="20.4" spans="1:10">
      <c r="A337" s="62" t="s">
        <v>525</v>
      </c>
      <c r="B337" s="63">
        <v>401</v>
      </c>
      <c r="C337" s="64">
        <f>D4</f>
        <v>0</v>
      </c>
      <c r="D337" s="64">
        <f>E4</f>
        <v>0</v>
      </c>
      <c r="E337" s="64">
        <f t="shared" ref="E337:E340" si="8">D337-C337</f>
        <v>0</v>
      </c>
      <c r="F337" s="40"/>
      <c r="G337" s="40"/>
      <c r="H337" s="40"/>
      <c r="I337" s="40"/>
      <c r="J337" s="78"/>
    </row>
    <row r="338" ht="20.4" spans="1:10">
      <c r="A338" s="65"/>
      <c r="B338" s="63">
        <v>402</v>
      </c>
      <c r="C338" s="64">
        <f>D45</f>
        <v>0</v>
      </c>
      <c r="D338" s="64">
        <f>E45</f>
        <v>0</v>
      </c>
      <c r="E338" s="64">
        <f t="shared" si="8"/>
        <v>0</v>
      </c>
      <c r="F338" s="40"/>
      <c r="G338" s="40"/>
      <c r="H338" s="40"/>
      <c r="I338" s="40"/>
      <c r="J338" s="78"/>
    </row>
    <row r="339" ht="20.4" spans="1:10">
      <c r="A339" s="65"/>
      <c r="B339" s="63">
        <v>403</v>
      </c>
      <c r="C339" s="64">
        <f>D86</f>
        <v>0</v>
      </c>
      <c r="D339" s="64">
        <f>E86</f>
        <v>0</v>
      </c>
      <c r="E339" s="64">
        <f t="shared" si="8"/>
        <v>0</v>
      </c>
      <c r="F339" s="40"/>
      <c r="G339" s="40"/>
      <c r="H339" s="40"/>
      <c r="I339" s="40"/>
      <c r="J339" s="78"/>
    </row>
    <row r="340" ht="20.4" spans="1:10">
      <c r="A340" s="66"/>
      <c r="B340" s="63">
        <v>404</v>
      </c>
      <c r="C340" s="64">
        <f>D113</f>
        <v>0</v>
      </c>
      <c r="D340" s="64">
        <f>D113</f>
        <v>0</v>
      </c>
      <c r="E340" s="64">
        <f t="shared" si="8"/>
        <v>0</v>
      </c>
      <c r="F340" s="40"/>
      <c r="G340" s="40"/>
      <c r="H340" s="40"/>
      <c r="I340" s="40"/>
      <c r="J340" s="78"/>
    </row>
    <row r="341" ht="20.4" spans="1:10">
      <c r="A341" s="67"/>
      <c r="B341" s="68"/>
      <c r="C341" s="64"/>
      <c r="D341" s="64"/>
      <c r="E341" s="64"/>
      <c r="F341" s="40"/>
      <c r="G341" s="40"/>
      <c r="H341" s="40"/>
      <c r="I341" s="40"/>
      <c r="J341" s="42"/>
    </row>
    <row r="342" ht="20.4" spans="1:10">
      <c r="A342" s="62" t="s">
        <v>708</v>
      </c>
      <c r="B342" s="63">
        <v>401</v>
      </c>
      <c r="C342" s="64">
        <f>D144</f>
        <v>0</v>
      </c>
      <c r="D342" s="64">
        <f>E144</f>
        <v>0</v>
      </c>
      <c r="E342" s="64">
        <f t="shared" ref="E342:E345" si="9">D342-C342</f>
        <v>0</v>
      </c>
      <c r="F342" s="40"/>
      <c r="G342" s="40"/>
      <c r="H342" s="40"/>
      <c r="I342" s="40"/>
      <c r="J342" s="78"/>
    </row>
    <row r="343" ht="20.4" spans="1:10">
      <c r="A343" s="65"/>
      <c r="B343" s="63">
        <v>402</v>
      </c>
      <c r="C343" s="64">
        <f>D195</f>
        <v>0</v>
      </c>
      <c r="D343" s="64">
        <f>E195</f>
        <v>0</v>
      </c>
      <c r="E343" s="64">
        <f t="shared" si="9"/>
        <v>0</v>
      </c>
      <c r="F343" s="40"/>
      <c r="G343" s="40"/>
      <c r="H343" s="40"/>
      <c r="I343" s="40"/>
      <c r="J343" s="78"/>
    </row>
    <row r="344" ht="20.4" spans="1:10">
      <c r="A344" s="65"/>
      <c r="B344" s="63">
        <v>403</v>
      </c>
      <c r="C344" s="64">
        <f>D245</f>
        <v>0</v>
      </c>
      <c r="D344" s="64">
        <f>E245</f>
        <v>0</v>
      </c>
      <c r="E344" s="64">
        <f t="shared" si="9"/>
        <v>0</v>
      </c>
      <c r="F344" s="40"/>
      <c r="G344" s="40"/>
      <c r="H344" s="40"/>
      <c r="I344" s="40"/>
      <c r="J344" s="78"/>
    </row>
    <row r="345" ht="21" spans="1:10">
      <c r="A345" s="66"/>
      <c r="B345" s="63">
        <v>404</v>
      </c>
      <c r="C345" s="64">
        <f>D273</f>
        <v>0</v>
      </c>
      <c r="D345" s="64">
        <f>E273</f>
        <v>0</v>
      </c>
      <c r="E345" s="64">
        <f t="shared" si="9"/>
        <v>0</v>
      </c>
      <c r="F345" s="40"/>
      <c r="G345" s="36" t="s">
        <v>1058</v>
      </c>
      <c r="H345" s="41"/>
      <c r="I345" s="78"/>
      <c r="J345" s="78"/>
    </row>
    <row r="346" ht="20.4" spans="1:10">
      <c r="A346" s="69" t="s">
        <v>1049</v>
      </c>
      <c r="B346" s="69"/>
      <c r="C346" s="69"/>
      <c r="D346" s="69"/>
      <c r="E346" s="77">
        <f>SUM(E337:E345)</f>
        <v>0</v>
      </c>
      <c r="F346" s="41"/>
      <c r="G346" s="36">
        <f>E326</f>
        <v>0</v>
      </c>
      <c r="H346" s="41"/>
      <c r="I346" s="50"/>
      <c r="J346" s="50"/>
    </row>
    <row r="347" ht="21" spans="1:10">
      <c r="A347" s="49"/>
      <c r="B347" s="50"/>
      <c r="C347" s="41"/>
      <c r="D347" s="41"/>
      <c r="E347" s="41"/>
      <c r="F347" s="41"/>
      <c r="G347" s="36" t="s">
        <v>1059</v>
      </c>
      <c r="H347" s="41"/>
      <c r="I347" s="41"/>
      <c r="J347" s="50"/>
    </row>
    <row r="348" ht="20.4" spans="1:10">
      <c r="A348" s="49"/>
      <c r="B348" s="50"/>
      <c r="C348" s="41"/>
      <c r="D348" s="41"/>
      <c r="E348" s="41"/>
      <c r="F348" s="41"/>
      <c r="G348" s="36">
        <f>E346</f>
        <v>0</v>
      </c>
      <c r="H348" s="41"/>
      <c r="I348" s="41"/>
      <c r="J348" s="50"/>
    </row>
    <row r="349" ht="21" spans="1:10">
      <c r="A349" s="49"/>
      <c r="B349" s="50"/>
      <c r="C349" s="41"/>
      <c r="D349" s="41"/>
      <c r="E349" s="41"/>
      <c r="F349" s="41"/>
      <c r="G349" s="36" t="s">
        <v>1060</v>
      </c>
      <c r="H349" s="41"/>
      <c r="I349" s="41"/>
      <c r="J349" s="50"/>
    </row>
    <row r="350" ht="20.4" spans="1:10">
      <c r="A350" s="49"/>
      <c r="B350" s="50"/>
      <c r="C350" s="41"/>
      <c r="D350" s="41"/>
      <c r="E350" s="41"/>
      <c r="F350" s="41"/>
      <c r="G350" s="36" t="e">
        <f>D315</f>
        <v>#VALUE!</v>
      </c>
      <c r="H350" s="41"/>
      <c r="I350" s="41"/>
      <c r="J350" s="50"/>
    </row>
    <row r="351" spans="1:10">
      <c r="A351" s="70"/>
      <c r="B351" s="71"/>
      <c r="C351" s="72"/>
      <c r="D351" s="72"/>
      <c r="E351" s="72"/>
      <c r="F351" s="72"/>
      <c r="G351" s="72"/>
      <c r="H351" s="72"/>
      <c r="I351" s="71"/>
      <c r="J351" s="71"/>
    </row>
    <row r="352" spans="1:10">
      <c r="A352" s="70"/>
      <c r="B352" s="71"/>
      <c r="C352" s="72"/>
      <c r="D352" s="72"/>
      <c r="E352" s="72"/>
      <c r="F352" s="72"/>
      <c r="G352" s="72"/>
      <c r="H352" s="72"/>
      <c r="I352" s="71"/>
      <c r="J352" s="71"/>
    </row>
    <row r="353" spans="1:10">
      <c r="A353" s="70"/>
      <c r="B353" s="71"/>
      <c r="C353" s="72"/>
      <c r="D353" s="72"/>
      <c r="E353" s="72"/>
      <c r="F353" s="72"/>
      <c r="G353" s="72"/>
      <c r="H353" s="72"/>
      <c r="I353" s="71"/>
      <c r="J353" s="71"/>
    </row>
    <row r="354" spans="1:10">
      <c r="A354" s="70"/>
      <c r="B354" s="71"/>
      <c r="C354" s="72"/>
      <c r="D354" s="72"/>
      <c r="E354" s="72"/>
      <c r="F354" s="72"/>
      <c r="G354" s="72"/>
      <c r="H354" s="72"/>
      <c r="I354" s="71"/>
      <c r="J354" s="71"/>
    </row>
  </sheetData>
  <mergeCells count="58">
    <mergeCell ref="A1:H1"/>
    <mergeCell ref="A2:H2"/>
    <mergeCell ref="A43:H43"/>
    <mergeCell ref="A84:H84"/>
    <mergeCell ref="A111:H111"/>
    <mergeCell ref="A141:H141"/>
    <mergeCell ref="A142:H142"/>
    <mergeCell ref="A193:H193"/>
    <mergeCell ref="A243:H243"/>
    <mergeCell ref="A271:H271"/>
    <mergeCell ref="A346:D346"/>
    <mergeCell ref="A5:A10"/>
    <mergeCell ref="A11:A18"/>
    <mergeCell ref="A19:A26"/>
    <mergeCell ref="A27:A32"/>
    <mergeCell ref="A33:A39"/>
    <mergeCell ref="A40:A41"/>
    <mergeCell ref="A46:A47"/>
    <mergeCell ref="A48:A54"/>
    <mergeCell ref="A55:A60"/>
    <mergeCell ref="A61:A68"/>
    <mergeCell ref="A69:A76"/>
    <mergeCell ref="A77:A82"/>
    <mergeCell ref="A87:A89"/>
    <mergeCell ref="A90:A93"/>
    <mergeCell ref="A94:A101"/>
    <mergeCell ref="A102:A109"/>
    <mergeCell ref="A114:A121"/>
    <mergeCell ref="A122:A123"/>
    <mergeCell ref="A124:A130"/>
    <mergeCell ref="A131:A134"/>
    <mergeCell ref="A135:A137"/>
    <mergeCell ref="A145:A150"/>
    <mergeCell ref="A151:A156"/>
    <mergeCell ref="A157:A162"/>
    <mergeCell ref="A163:A170"/>
    <mergeCell ref="A171:A176"/>
    <mergeCell ref="A177:A183"/>
    <mergeCell ref="A184:A191"/>
    <mergeCell ref="A196:A203"/>
    <mergeCell ref="A204:A209"/>
    <mergeCell ref="A210:A215"/>
    <mergeCell ref="A216:A223"/>
    <mergeCell ref="A224:A229"/>
    <mergeCell ref="A230:A235"/>
    <mergeCell ref="A236:A241"/>
    <mergeCell ref="A246:A248"/>
    <mergeCell ref="A249:A254"/>
    <mergeCell ref="A255:A261"/>
    <mergeCell ref="A262:A269"/>
    <mergeCell ref="A274:A281"/>
    <mergeCell ref="A282:A288"/>
    <mergeCell ref="A289:A294"/>
    <mergeCell ref="A295:A297"/>
    <mergeCell ref="A337:A340"/>
    <mergeCell ref="A342:A345"/>
    <mergeCell ref="A321:E322"/>
    <mergeCell ref="A329:E330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金安科幻配电室电量统计表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.</cp:lastModifiedBy>
  <dcterms:created xsi:type="dcterms:W3CDTF">2023-03-03T04:08:00Z</dcterms:created>
  <cp:lastPrinted>2024-09-26T08:37:00Z</cp:lastPrinted>
  <dcterms:modified xsi:type="dcterms:W3CDTF">2026-03-20T16:07:59Z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2052-6.7.1.8828</vt:lpwstr>
  </property>
  <property fmtid="{D5CDD505-2E9C-101B-9397-08002B2CF9AE}" pid="3" name="ICV">
    <vt:lpwstr>546E21F8573E428580E53D36AA4F74F6_13</vt:lpwstr>
  </property>
</Properties>
</file>